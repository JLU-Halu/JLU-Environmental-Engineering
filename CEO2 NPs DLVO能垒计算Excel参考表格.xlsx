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260" windowHeight="11880" tabRatio="598"/>
  </bookViews>
  <sheets>
    <sheet name="汇总图片" sheetId="11" r:id="rId1"/>
    <sheet name="Control" sheetId="1" r:id="rId2"/>
    <sheet name="NaCl 0.3" sheetId="2" r:id="rId3"/>
    <sheet name="NaCl 3" sheetId="3" r:id="rId4"/>
    <sheet name="NaCl 30" sheetId="4" r:id="rId5"/>
    <sheet name="Na2SO4 0.3" sheetId="5" r:id="rId6"/>
    <sheet name="Na2SO4 3" sheetId="6" r:id="rId7"/>
    <sheet name="Na2SO4 30" sheetId="7" r:id="rId8"/>
    <sheet name="PO4 0.3" sheetId="8" r:id="rId9"/>
    <sheet name="PO4 3" sheetId="9" r:id="rId10"/>
    <sheet name="PO4 30" sheetId="10" r:id="rId11"/>
    <sheet name="Sheet2" sheetId="12" r:id="rId12"/>
  </sheets>
  <externalReferences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C19" authorId="0">
      <text>
        <r>
          <rPr>
            <b/>
            <sz val="9"/>
            <rFont val="MS PGothic"/>
            <charset val="134"/>
          </rPr>
          <t>Author:</t>
        </r>
        <r>
          <rPr>
            <sz val="9"/>
            <rFont val="MS PGothic"/>
            <charset val="134"/>
          </rPr>
          <t xml:space="preserve">
Please calculate this again based on the above parameters.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C19" authorId="0">
      <text>
        <r>
          <rPr>
            <b/>
            <sz val="9"/>
            <rFont val="MS PGothic"/>
            <charset val="134"/>
          </rPr>
          <t>Author:</t>
        </r>
        <r>
          <rPr>
            <sz val="9"/>
            <rFont val="MS PGothic"/>
            <charset val="134"/>
          </rPr>
          <t xml:space="preserve">
Please calculate this again based on the above parameters.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19" authorId="0">
      <text>
        <r>
          <rPr>
            <b/>
            <sz val="9"/>
            <rFont val="MS PGothic"/>
            <charset val="134"/>
          </rPr>
          <t>Author:</t>
        </r>
        <r>
          <rPr>
            <sz val="9"/>
            <rFont val="MS PGothic"/>
            <charset val="134"/>
          </rPr>
          <t xml:space="preserve">
Please calculate this again based on the above parameters.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19" authorId="0">
      <text>
        <r>
          <rPr>
            <b/>
            <sz val="9"/>
            <rFont val="MS PGothic"/>
            <charset val="134"/>
          </rPr>
          <t>Author:</t>
        </r>
        <r>
          <rPr>
            <sz val="9"/>
            <rFont val="MS PGothic"/>
            <charset val="134"/>
          </rPr>
          <t xml:space="preserve">
Please calculate this again based on the above parameters.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9" authorId="0">
      <text>
        <r>
          <rPr>
            <b/>
            <sz val="9"/>
            <rFont val="MS PGothic"/>
            <charset val="134"/>
          </rPr>
          <t>Author:</t>
        </r>
        <r>
          <rPr>
            <sz val="9"/>
            <rFont val="MS PGothic"/>
            <charset val="134"/>
          </rPr>
          <t xml:space="preserve">
Please calculate this again based on the above parameters.
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19" authorId="0">
      <text>
        <r>
          <rPr>
            <b/>
            <sz val="9"/>
            <rFont val="MS PGothic"/>
            <charset val="134"/>
          </rPr>
          <t>Author:</t>
        </r>
        <r>
          <rPr>
            <sz val="9"/>
            <rFont val="MS PGothic"/>
            <charset val="134"/>
          </rPr>
          <t xml:space="preserve">
Please calculate this again based on the above parameters.
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C19" authorId="0">
      <text>
        <r>
          <rPr>
            <b/>
            <sz val="9"/>
            <rFont val="MS PGothic"/>
            <charset val="134"/>
          </rPr>
          <t>Author:</t>
        </r>
        <r>
          <rPr>
            <sz val="9"/>
            <rFont val="MS PGothic"/>
            <charset val="134"/>
          </rPr>
          <t xml:space="preserve">
Please calculate this again based on the above parameters.
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C19" authorId="0">
      <text>
        <r>
          <rPr>
            <b/>
            <sz val="9"/>
            <rFont val="MS PGothic"/>
            <charset val="134"/>
          </rPr>
          <t>Author:</t>
        </r>
        <r>
          <rPr>
            <sz val="9"/>
            <rFont val="MS PGothic"/>
            <charset val="134"/>
          </rPr>
          <t xml:space="preserve">
Please calculate this again based on the above parameters.
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C19" authorId="0">
      <text>
        <r>
          <rPr>
            <b/>
            <sz val="9"/>
            <rFont val="MS PGothic"/>
            <charset val="134"/>
          </rPr>
          <t>Author:</t>
        </r>
        <r>
          <rPr>
            <sz val="9"/>
            <rFont val="MS PGothic"/>
            <charset val="134"/>
          </rPr>
          <t xml:space="preserve">
Please calculate this again based on the above parameters.
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C19" authorId="0">
      <text>
        <r>
          <rPr>
            <b/>
            <sz val="9"/>
            <rFont val="MS PGothic"/>
            <charset val="134"/>
          </rPr>
          <t>Author:</t>
        </r>
        <r>
          <rPr>
            <sz val="9"/>
            <rFont val="MS PGothic"/>
            <charset val="134"/>
          </rPr>
          <t xml:space="preserve">
Please calculate this again based on the above parameters.
</t>
        </r>
      </text>
    </comment>
  </commentList>
</comments>
</file>

<file path=xl/sharedStrings.xml><?xml version="1.0" encoding="utf-8"?>
<sst xmlns="http://schemas.openxmlformats.org/spreadsheetml/2006/main" count="586" uniqueCount="79">
  <si>
    <t>Paraemter</t>
  </si>
  <si>
    <t>Description</t>
  </si>
  <si>
    <t>Value</t>
  </si>
  <si>
    <t>Unit</t>
  </si>
  <si>
    <t>描述</t>
  </si>
  <si>
    <t>A</t>
  </si>
  <si>
    <t>Hamaker constant</t>
  </si>
  <si>
    <t>J</t>
  </si>
  <si>
    <t>哈梅克常数</t>
  </si>
  <si>
    <t>Conc.</t>
  </si>
  <si>
    <t>Concentration of electrolyte</t>
  </si>
  <si>
    <t>电解质浓度</t>
  </si>
  <si>
    <t>IS</t>
  </si>
  <si>
    <t>Ionice strength</t>
  </si>
  <si>
    <t>Ionice强度</t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</si>
  <si>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B</t>
    </r>
  </si>
  <si>
    <t>the Boltzmann constant</t>
  </si>
  <si>
    <t>J/K</t>
  </si>
  <si>
    <t>玻尔兹曼常数</t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</si>
  <si>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T</t>
    </r>
  </si>
  <si>
    <t>n</t>
  </si>
  <si>
    <t>the bulk electrolyte number concentration</t>
  </si>
  <si>
    <t>m^(-3)</t>
  </si>
  <si>
    <t>本体电解质数量浓度</t>
  </si>
  <si>
    <t>n = NA*c*10^3</t>
  </si>
  <si>
    <t>n = NA * c * 10 ^ 3</t>
  </si>
  <si>
    <t xml:space="preserve">NA: Avogadro's number </t>
  </si>
  <si>
    <t>NA：阿伏加德罗的号码</t>
  </si>
  <si>
    <t>c: molar concentration (mol/L)</t>
  </si>
  <si>
    <t>c：摩尔浓度（mol / L）</t>
  </si>
  <si>
    <t>r</t>
  </si>
  <si>
    <t>radius of a particle</t>
  </si>
  <si>
    <t>m</t>
  </si>
  <si>
    <t>粒子的半径</t>
  </si>
  <si>
    <t>T</t>
  </si>
  <si>
    <t>Temperature</t>
  </si>
  <si>
    <t>K</t>
  </si>
  <si>
    <t>温度</t>
  </si>
  <si>
    <t>z</t>
  </si>
  <si>
    <t>𝛆</t>
  </si>
  <si>
    <t>permitivity of water</t>
  </si>
  <si>
    <t>F/m</t>
  </si>
  <si>
    <t>水的介电常数</t>
  </si>
  <si>
    <t>the dielectric permittivity of a vacuum</t>
  </si>
  <si>
    <t>真空的介电常数</t>
  </si>
  <si>
    <t>the dielectric constant of water</t>
  </si>
  <si>
    <t>κ</t>
  </si>
  <si>
    <r>
      <rPr>
        <sz val="11"/>
        <color theme="1"/>
        <rFont val="宋体"/>
        <charset val="134"/>
        <scheme val="minor"/>
      </rPr>
      <t>Deby-H</t>
    </r>
    <r>
      <rPr>
        <sz val="11"/>
        <color theme="1"/>
        <rFont val="Calibri"/>
        <charset val="134"/>
      </rPr>
      <t>ückel Parameter</t>
    </r>
  </si>
  <si>
    <r>
      <rPr>
        <sz val="11"/>
        <color theme="1"/>
        <rFont val="宋体"/>
        <charset val="134"/>
        <scheme val="minor"/>
      </rPr>
      <t>m</t>
    </r>
    <r>
      <rPr>
        <vertAlign val="superscript"/>
        <sz val="11"/>
        <color theme="1"/>
        <rFont val="宋体"/>
        <charset val="134"/>
        <scheme val="minor"/>
      </rPr>
      <t>-1</t>
    </r>
  </si>
  <si>
    <t>Deby-Hückel参数</t>
  </si>
  <si>
    <t>π</t>
  </si>
  <si>
    <t>ζ</t>
  </si>
  <si>
    <t>zeta potential</t>
  </si>
  <si>
    <t>V</t>
  </si>
  <si>
    <t>ζ电位</t>
  </si>
  <si>
    <t>e</t>
  </si>
  <si>
    <t>H(m) distance between two particles</t>
  </si>
  <si>
    <r>
      <rPr>
        <sz val="11"/>
        <color theme="1"/>
        <rFont val="宋体"/>
        <charset val="134"/>
        <scheme val="minor"/>
      </rPr>
      <t>Φ/K</t>
    </r>
    <r>
      <rPr>
        <vertAlign val="subscript"/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T</t>
    </r>
  </si>
  <si>
    <t>Φ</t>
  </si>
  <si>
    <t>64πnrkBT/K^2</t>
  </si>
  <si>
    <t>exp(-kH)</t>
  </si>
  <si>
    <t>exp(zeζ/2kt)-1</t>
  </si>
  <si>
    <t>exp(zeζ/2kt)+1</t>
  </si>
  <si>
    <t>64****(exp(zeζ/2kt)-1/exp(zeζ/2kt)+1)^2</t>
  </si>
  <si>
    <t>A/6</t>
  </si>
  <si>
    <t>2r^2/H^2+4rH</t>
  </si>
  <si>
    <t>2r2/H2+4rH+4r^2</t>
  </si>
  <si>
    <t>H^2+4rH//H2+4rH+4r^2</t>
  </si>
  <si>
    <t>lnM21</t>
  </si>
  <si>
    <t>Take NaCl 0.0003 mM for example</t>
  </si>
  <si>
    <t>Comment</t>
  </si>
  <si>
    <t>J/m</t>
  </si>
  <si>
    <t>Take NaCl 3 mM for example</t>
  </si>
  <si>
    <t>Take NaCl 0.03 mM for example</t>
  </si>
  <si>
    <t>哈马克恒定</t>
  </si>
  <si>
    <t>Z</t>
  </si>
  <si>
    <t>Concentration of solute</t>
  </si>
  <si>
    <t>M</t>
  </si>
  <si>
    <t xml:space="preserve">NaCl/CaCl2/K2HPO4 concentration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</si>
</sst>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vertAlign val="superscript"/>
      <sz val="11"/>
      <color theme="1"/>
      <name val="宋体"/>
      <charset val="134"/>
      <scheme val="minor"/>
    </font>
    <font>
      <sz val="9"/>
      <name val="MS PGothic"/>
      <charset val="134"/>
    </font>
    <font>
      <b/>
      <sz val="9"/>
      <name val="MS PGothic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4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ont="1" applyFill="1" applyBorder="1" applyAlignment="1">
      <alignment vertical="top"/>
    </xf>
    <xf numFmtId="0" fontId="0" fillId="3" borderId="5" xfId="0" applyFont="1" applyFill="1" applyBorder="1"/>
    <xf numFmtId="11" fontId="0" fillId="3" borderId="5" xfId="0" applyNumberFormat="1" applyFont="1" applyFill="1" applyBorder="1" applyAlignment="1">
      <alignment horizontal="right"/>
    </xf>
    <xf numFmtId="0" fontId="0" fillId="3" borderId="6" xfId="0" applyFont="1" applyFill="1" applyBorder="1"/>
    <xf numFmtId="11" fontId="0" fillId="0" borderId="0" xfId="0" applyNumberFormat="1"/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/>
    <xf numFmtId="11" fontId="0" fillId="0" borderId="5" xfId="0" applyNumberFormat="1" applyFont="1" applyFill="1" applyBorder="1" applyAlignment="1">
      <alignment horizontal="right"/>
    </xf>
    <xf numFmtId="0" fontId="0" fillId="0" borderId="6" xfId="0" applyFont="1" applyFill="1" applyBorder="1"/>
    <xf numFmtId="11" fontId="0" fillId="3" borderId="5" xfId="0" applyNumberFormat="1" applyFont="1" applyFill="1" applyBorder="1" applyAlignment="1">
      <alignment horizontal="right"/>
    </xf>
    <xf numFmtId="0" fontId="0" fillId="0" borderId="4" xfId="0" applyFont="1" applyFill="1" applyBorder="1"/>
    <xf numFmtId="0" fontId="0" fillId="3" borderId="4" xfId="0" applyFont="1" applyFill="1" applyBorder="1"/>
    <xf numFmtId="0" fontId="0" fillId="3" borderId="5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3" borderId="5" xfId="0" applyFont="1" applyFill="1" applyBorder="1" applyAlignment="1">
      <alignment horizontal="left" vertical="top"/>
    </xf>
    <xf numFmtId="11" fontId="0" fillId="3" borderId="5" xfId="0" applyNumberFormat="1" applyFont="1" applyFill="1" applyBorder="1" applyAlignment="1">
      <alignment horizontal="right" vertical="top"/>
    </xf>
    <xf numFmtId="0" fontId="0" fillId="3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Font="1" applyFill="1" applyBorder="1" applyAlignment="1">
      <alignment horizontal="left" vertical="top"/>
    </xf>
    <xf numFmtId="11" fontId="0" fillId="0" borderId="5" xfId="0" applyNumberFormat="1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left" vertical="top"/>
    </xf>
    <xf numFmtId="0" fontId="0" fillId="3" borderId="5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0" borderId="0" xfId="0" applyAlignment="1">
      <alignment vertical="top"/>
    </xf>
    <xf numFmtId="0" fontId="0" fillId="3" borderId="7" xfId="0" applyFont="1" applyFill="1" applyBorder="1" applyAlignment="1">
      <alignment vertical="top"/>
    </xf>
    <xf numFmtId="0" fontId="0" fillId="3" borderId="8" xfId="0" applyFont="1" applyFill="1" applyBorder="1" applyAlignment="1">
      <alignment vertical="top"/>
    </xf>
    <xf numFmtId="11" fontId="0" fillId="3" borderId="8" xfId="0" applyNumberFormat="1" applyFont="1" applyFill="1" applyBorder="1" applyAlignment="1">
      <alignment horizontal="right"/>
    </xf>
    <xf numFmtId="0" fontId="0" fillId="3" borderId="9" xfId="0" applyFont="1" applyFill="1" applyBorder="1" applyAlignment="1">
      <alignment vertical="top"/>
    </xf>
    <xf numFmtId="0" fontId="1" fillId="2" borderId="1" xfId="0" applyFont="1" applyFill="1" applyBorder="1"/>
    <xf numFmtId="11" fontId="0" fillId="3" borderId="5" xfId="0" applyNumberFormat="1" applyFont="1" applyFill="1" applyBorder="1"/>
    <xf numFmtId="11" fontId="0" fillId="3" borderId="6" xfId="0" applyNumberFormat="1" applyFont="1" applyFill="1" applyBorder="1"/>
    <xf numFmtId="11" fontId="0" fillId="0" borderId="5" xfId="0" applyNumberFormat="1" applyFont="1" applyFill="1" applyBorder="1"/>
    <xf numFmtId="11" fontId="0" fillId="0" borderId="6" xfId="0" applyNumberFormat="1" applyFont="1" applyFill="1" applyBorder="1"/>
    <xf numFmtId="0" fontId="0" fillId="0" borderId="7" xfId="0" applyFont="1" applyFill="1" applyBorder="1"/>
    <xf numFmtId="11" fontId="0" fillId="0" borderId="8" xfId="0" applyNumberFormat="1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3" borderId="5" xfId="0" applyFont="1" applyFill="1" applyBorder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/>
    <xf numFmtId="0" fontId="0" fillId="0" borderId="6" xfId="0" applyFont="1" applyFill="1" applyBorder="1"/>
    <xf numFmtId="0" fontId="0" fillId="3" borderId="4" xfId="0" applyFont="1" applyFill="1" applyBorder="1" applyAlignment="1">
      <alignment vertical="top"/>
    </xf>
    <xf numFmtId="0" fontId="0" fillId="0" borderId="5" xfId="0" applyFont="1" applyFill="1" applyBorder="1" applyAlignment="1">
      <alignment horizontal="right"/>
    </xf>
    <xf numFmtId="0" fontId="0" fillId="0" borderId="4" xfId="0" applyFont="1" applyFill="1" applyBorder="1"/>
    <xf numFmtId="11" fontId="0" fillId="0" borderId="5" xfId="0" applyNumberFormat="1" applyFont="1" applyFill="1" applyBorder="1" applyAlignment="1">
      <alignment horizontal="right"/>
    </xf>
    <xf numFmtId="0" fontId="0" fillId="3" borderId="5" xfId="0" applyFont="1" applyFill="1" applyBorder="1" applyAlignment="1">
      <alignment horizontal="left" vertical="top"/>
    </xf>
    <xf numFmtId="11" fontId="0" fillId="3" borderId="5" xfId="0" applyNumberFormat="1" applyFont="1" applyFill="1" applyBorder="1" applyAlignment="1">
      <alignment horizontal="right" vertical="top"/>
    </xf>
    <xf numFmtId="0" fontId="0" fillId="3" borderId="6" xfId="0" applyFont="1" applyFill="1" applyBorder="1" applyAlignment="1">
      <alignment horizontal="left" vertical="top"/>
    </xf>
    <xf numFmtId="0" fontId="0" fillId="0" borderId="5" xfId="0" applyFont="1" applyFill="1" applyBorder="1" applyAlignment="1">
      <alignment horizontal="left" vertical="top"/>
    </xf>
    <xf numFmtId="11" fontId="0" fillId="0" borderId="5" xfId="0" applyNumberFormat="1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left" vertical="top"/>
    </xf>
    <xf numFmtId="0" fontId="0" fillId="3" borderId="5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3" borderId="7" xfId="0" applyFont="1" applyFill="1" applyBorder="1" applyAlignment="1">
      <alignment vertical="top"/>
    </xf>
    <xf numFmtId="0" fontId="0" fillId="3" borderId="8" xfId="0" applyFont="1" applyFill="1" applyBorder="1" applyAlignment="1">
      <alignment vertical="top"/>
    </xf>
    <xf numFmtId="11" fontId="0" fillId="3" borderId="8" xfId="0" applyNumberFormat="1" applyFont="1" applyFill="1" applyBorder="1" applyAlignment="1">
      <alignment horizontal="right"/>
    </xf>
    <xf numFmtId="0" fontId="0" fillId="3" borderId="9" xfId="0" applyFont="1" applyFill="1" applyBorder="1" applyAlignment="1">
      <alignment vertical="top"/>
    </xf>
    <xf numFmtId="0" fontId="0" fillId="0" borderId="0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 vertical="top"/>
    </xf>
    <xf numFmtId="0" fontId="0" fillId="3" borderId="5" xfId="0" applyFont="1" applyFill="1" applyBorder="1" applyAlignment="1">
      <alignment horizontal="center"/>
    </xf>
    <xf numFmtId="11" fontId="0" fillId="3" borderId="5" xfId="0" applyNumberFormat="1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/>
    </xf>
    <xf numFmtId="11" fontId="0" fillId="0" borderId="5" xfId="0" applyNumberFormat="1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 vertical="top"/>
    </xf>
    <xf numFmtId="11" fontId="0" fillId="3" borderId="5" xfId="0" applyNumberFormat="1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11" fontId="0" fillId="0" borderId="5" xfId="0" applyNumberFormat="1" applyFont="1" applyFill="1" applyBorder="1" applyAlignment="1">
      <alignment horizontal="center" vertical="top"/>
    </xf>
    <xf numFmtId="0" fontId="0" fillId="3" borderId="7" xfId="0" applyFont="1" applyFill="1" applyBorder="1" applyAlignment="1">
      <alignment horizontal="center" vertical="top"/>
    </xf>
    <xf numFmtId="0" fontId="0" fillId="3" borderId="8" xfId="0" applyFont="1" applyFill="1" applyBorder="1" applyAlignment="1">
      <alignment horizontal="center" vertical="top"/>
    </xf>
    <xf numFmtId="11" fontId="0" fillId="3" borderId="8" xfId="0" applyNumberFormat="1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199024455953"/>
          <c:y val="0.0633812240940084"/>
          <c:w val="0.754665378134541"/>
          <c:h val="0.861968007589282"/>
        </c:manualLayout>
      </c:layout>
      <c:scatterChart>
        <c:scatterStyle val="lineMarker"/>
        <c:varyColors val="0"/>
        <c:ser>
          <c:idx val="6"/>
          <c:order val="0"/>
          <c:tx>
            <c:strRef>
              <c:f>"NaCl 30 mmol/L"</c:f>
              <c:strCache>
                <c:ptCount val="1"/>
                <c:pt idx="0">
                  <c:v>NaCl 30 mmol/L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6">
                      <a:lumMod val="67000"/>
                    </a:schemeClr>
                  </a:gs>
                  <a:gs pos="48000">
                    <a:schemeClr val="accent6">
                      <a:lumMod val="97000"/>
                      <a:lumOff val="3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prst="angle"/>
              </a:sp3d>
            </c:spPr>
          </c:marker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'NaCl 30'!$C$30:$C$44</c:f>
              <c:numCache>
                <c:formatCode>0.00E+00</c:formatCode>
                <c:ptCount val="15"/>
                <c:pt idx="0">
                  <c:v>-44.3339442624205</c:v>
                </c:pt>
                <c:pt idx="1">
                  <c:v>-17.8956976272785</c:v>
                </c:pt>
                <c:pt idx="2">
                  <c:v>-11.674303724717</c:v>
                </c:pt>
                <c:pt idx="3">
                  <c:v>-9.09509535002138</c:v>
                </c:pt>
                <c:pt idx="4">
                  <c:v>-7.5437239072724</c:v>
                </c:pt>
                <c:pt idx="5">
                  <c:v>-6.39900976840044</c:v>
                </c:pt>
                <c:pt idx="6">
                  <c:v>-5.47968477384488</c:v>
                </c:pt>
                <c:pt idx="7">
                  <c:v>-4.71954133766553</c:v>
                </c:pt>
                <c:pt idx="8">
                  <c:v>-4.08533217400725</c:v>
                </c:pt>
                <c:pt idx="9">
                  <c:v>-3.55450748728848</c:v>
                </c:pt>
                <c:pt idx="10">
                  <c:v>-1.16107624260687</c:v>
                </c:pt>
                <c:pt idx="11">
                  <c:v>-0.525471523663059</c:v>
                </c:pt>
                <c:pt idx="12">
                  <c:v>-0.279686281742762</c:v>
                </c:pt>
                <c:pt idx="13">
                  <c:v>-0.163933355230625</c:v>
                </c:pt>
                <c:pt idx="14">
                  <c:v>-0.102585422292125</c:v>
                </c:pt>
              </c:numCache>
            </c:numRef>
          </c:yVal>
          <c:smooth val="0"/>
        </c:ser>
        <c:ser>
          <c:idx val="7"/>
          <c:order val="1"/>
          <c:tx>
            <c:strRef>
              <c:f>"NaCl 3 mmol/L"</c:f>
              <c:strCache>
                <c:ptCount val="1"/>
                <c:pt idx="0">
                  <c:v>NaCl 3 mmol/L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4">
                      <a:lumMod val="0"/>
                      <a:lumOff val="100000"/>
                    </a:schemeClr>
                  </a:gs>
                  <a:gs pos="35000">
                    <a:schemeClr val="accent4">
                      <a:lumMod val="0"/>
                      <a:lumOff val="100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222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</c:marker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'NaCl 3'!$C$30:$C$44</c:f>
              <c:numCache>
                <c:formatCode>0.00E+00</c:formatCode>
                <c:ptCount val="15"/>
                <c:pt idx="0">
                  <c:v>-39.2466881201519</c:v>
                </c:pt>
                <c:pt idx="1">
                  <c:v>-11.4842333847588</c:v>
                </c:pt>
                <c:pt idx="2">
                  <c:v>-3.94699501540106</c:v>
                </c:pt>
                <c:pt idx="3">
                  <c:v>-1.10343471116745</c:v>
                </c:pt>
                <c:pt idx="4">
                  <c:v>0.0629418457803781</c:v>
                </c:pt>
                <c:pt idx="5">
                  <c:v>0.513566704785315</c:v>
                </c:pt>
                <c:pt idx="6">
                  <c:v>0.634154596160377</c:v>
                </c:pt>
                <c:pt idx="7">
                  <c:v>0.600527455041488</c:v>
                </c:pt>
                <c:pt idx="8">
                  <c:v>0.498893259307456</c:v>
                </c:pt>
                <c:pt idx="9">
                  <c:v>0.373077037172395</c:v>
                </c:pt>
                <c:pt idx="10">
                  <c:v>-0.321552202075668</c:v>
                </c:pt>
                <c:pt idx="11">
                  <c:v>-0.283962303897308</c:v>
                </c:pt>
                <c:pt idx="12">
                  <c:v>-0.176954239465207</c:v>
                </c:pt>
                <c:pt idx="13">
                  <c:v>-0.106531894285837</c:v>
                </c:pt>
                <c:pt idx="14">
                  <c:v>-0.0659634458920651</c:v>
                </c:pt>
              </c:numCache>
            </c:numRef>
          </c:yVal>
          <c:smooth val="0"/>
        </c:ser>
        <c:ser>
          <c:idx val="8"/>
          <c:order val="2"/>
          <c:tx>
            <c:strRef>
              <c:f>"NaCl 0.3 mmol/L"</c:f>
              <c:strCache>
                <c:ptCount val="1"/>
                <c:pt idx="0">
                  <c:v>NaCl 0.3 mmol/L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5000">
                    <a:schemeClr val="accent5">
                      <a:lumMod val="0"/>
                      <a:lumOff val="100000"/>
                    </a:schemeClr>
                  </a:gs>
                  <a:gs pos="100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prst="angle"/>
              </a:sp3d>
            </c:spPr>
          </c:marker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'NaCl 0.3'!$C$30:$C$44</c:f>
              <c:numCache>
                <c:formatCode>0.00E+00</c:formatCode>
                <c:ptCount val="15"/>
                <c:pt idx="0">
                  <c:v>-1.95840942097496</c:v>
                </c:pt>
                <c:pt idx="1">
                  <c:v>0.459852427566712</c:v>
                </c:pt>
                <c:pt idx="2">
                  <c:v>1.0030219977516</c:v>
                </c:pt>
                <c:pt idx="3">
                  <c:v>1.16294751332655</c:v>
                </c:pt>
                <c:pt idx="4">
                  <c:v>1.19827618793017</c:v>
                </c:pt>
                <c:pt idx="5">
                  <c:v>1.18395713755512</c:v>
                </c:pt>
                <c:pt idx="6">
                  <c:v>1.14785645691013</c:v>
                </c:pt>
                <c:pt idx="7">
                  <c:v>1.10200898220149</c:v>
                </c:pt>
                <c:pt idx="8">
                  <c:v>1.05214904195924</c:v>
                </c:pt>
                <c:pt idx="9">
                  <c:v>1.00119460918435</c:v>
                </c:pt>
                <c:pt idx="10">
                  <c:v>0.578205658750842</c:v>
                </c:pt>
                <c:pt idx="11">
                  <c:v>0.328280742582378</c:v>
                </c:pt>
                <c:pt idx="12">
                  <c:v>0.186067814687298</c:v>
                </c:pt>
                <c:pt idx="13">
                  <c:v>0.105423912932296</c:v>
                </c:pt>
                <c:pt idx="14">
                  <c:v>0.0597251373809586</c:v>
                </c:pt>
              </c:numCache>
            </c:numRef>
          </c:yVal>
          <c:smooth val="0"/>
        </c:ser>
        <c:ser>
          <c:idx val="9"/>
          <c:order val="3"/>
          <c:tx>
            <c:strRef>
              <c:f>"对照组"</c:f>
              <c:strCache>
                <c:ptCount val="1"/>
                <c:pt idx="0">
                  <c:v>对照组</c:v>
                </c:pt>
              </c:strCache>
            </c:strRef>
          </c:tx>
          <c:spPr>
            <a:ln w="158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5">
                      <a:lumMod val="67000"/>
                    </a:schemeClr>
                  </a:gs>
                  <a:gs pos="48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dPt>
            <c:idx val="10"/>
            <c:marker>
              <c:symbol val="circle"/>
              <c:size val="10"/>
              <c:spPr>
                <a:gradFill flip="none" rotWithShape="1">
                  <a:gsLst>
                    <a:gs pos="0">
                      <a:schemeClr val="accent5">
                        <a:lumMod val="67000"/>
                      </a:schemeClr>
                    </a:gs>
                    <a:gs pos="48000">
                      <a:schemeClr val="accent5">
                        <a:lumMod val="97000"/>
                        <a:lumOff val="3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ln w="9525">
                  <a:noFill/>
                </a:ln>
                <a:effectLst/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</c:marker>
            <c:bubble3D val="0"/>
            <c:spPr>
              <a:ln w="25400" cap="rnd">
                <a:solidFill>
                  <a:srgbClr val="002060"/>
                </a:solidFill>
                <a:round/>
              </a:ln>
              <a:effectLst/>
            </c:spPr>
          </c:dPt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Control!$C$30:$C$44</c:f>
              <c:numCache>
                <c:formatCode>0.00E+00</c:formatCode>
                <c:ptCount val="15"/>
                <c:pt idx="0">
                  <c:v>-40.8019344291053</c:v>
                </c:pt>
                <c:pt idx="1">
                  <c:v>-6.58581288263941</c:v>
                </c:pt>
                <c:pt idx="2">
                  <c:v>4.40534747631204</c:v>
                </c:pt>
                <c:pt idx="3">
                  <c:v>9.69345000965044</c:v>
                </c:pt>
                <c:pt idx="4">
                  <c:v>12.7394301798281</c:v>
                </c:pt>
                <c:pt idx="5">
                  <c:v>14.6834790504437</c:v>
                </c:pt>
                <c:pt idx="6">
                  <c:v>16.0086475593058</c:v>
                </c:pt>
                <c:pt idx="7">
                  <c:v>16.9537017846392</c:v>
                </c:pt>
                <c:pt idx="8">
                  <c:v>17.649770856718</c:v>
                </c:pt>
                <c:pt idx="9">
                  <c:v>18.1746271220146</c:v>
                </c:pt>
                <c:pt idx="10">
                  <c:v>19.8459659654509</c:v>
                </c:pt>
                <c:pt idx="11">
                  <c:v>19.7606344953984</c:v>
                </c:pt>
                <c:pt idx="12">
                  <c:v>19.3329438808572</c:v>
                </c:pt>
                <c:pt idx="13">
                  <c:v>18.8060414128577</c:v>
                </c:pt>
                <c:pt idx="14">
                  <c:v>18.2496118091804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4666272"/>
        <c:axId val="-24665184"/>
      </c:scatterChart>
      <c:valAx>
        <c:axId val="-24666272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24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defRPr>
                </a:pPr>
                <a:r>
                  <a:rPr lang="zh-CN" altLang="en-US" sz="240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rial" panose="020B0604020202090204" pitchFamily="7" charset="0"/>
                    <a:sym typeface="Arial" panose="020B0604020202090204" pitchFamily="7" charset="0"/>
                  </a:rPr>
                  <a:t>颗粒间距离</a:t>
                </a:r>
                <a:r>
                  <a:rPr lang="en-US" sz="24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rial" panose="020B0604020202090204" pitchFamily="7" charset="0"/>
                    <a:sym typeface="Arial" panose="020B0604020202090204" pitchFamily="7" charset="0"/>
                  </a:rPr>
                  <a:t> </a:t>
                </a:r>
                <a:r>
                  <a:rPr lang="en-US" sz="2400" baseline="0">
                    <a:solidFill>
                      <a:schemeClr val="tx1"/>
                    </a:solidFill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(nm)</a:t>
                </a:r>
                <a:endParaRPr lang="en-US" sz="2400">
                  <a:solidFill>
                    <a:schemeClr val="tx1"/>
                  </a:solidFill>
                  <a:latin typeface="Arial" panose="020B0604020202090204" pitchFamily="7" charset="0"/>
                  <a:ea typeface="Arial" panose="020B0604020202090204" pitchFamily="7" charset="0"/>
                  <a:cs typeface="Arial" panose="020B0604020202090204" pitchFamily="7" charset="0"/>
                  <a:sym typeface="Arial" panose="020B0604020202090204" pitchFamily="7" charset="0"/>
                </a:endParaRPr>
              </a:p>
            </c:rich>
          </c:tx>
          <c:layout>
            <c:manualLayout>
              <c:xMode val="edge"/>
              <c:yMode val="edge"/>
              <c:x val="0.410613516980359"/>
              <c:y val="0.46590980170380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  <c:crossAx val="-24665184"/>
        <c:crossesAt val="0"/>
        <c:crossBetween val="midCat"/>
      </c:valAx>
      <c:valAx>
        <c:axId val="-24665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24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defRPr>
                </a:pPr>
                <a:r>
                  <a:rPr lang="zh-CN" altLang="en-US" sz="2400" b="0" i="0" baseline="0">
                    <a:solidFill>
                      <a:schemeClr val="tx1"/>
                    </a:solidFill>
                    <a:effectLst/>
                    <a:latin typeface="黑体" panose="02010609060101010101" pitchFamily="49" charset="-122"/>
                    <a:ea typeface="黑体" panose="02010609060101010101" pitchFamily="49" charset="-122"/>
                    <a:cs typeface="Arial" panose="020B0604020202090204" pitchFamily="7" charset="0"/>
                    <a:sym typeface="Arial" panose="020B0604020202090204" pitchFamily="7" charset="0"/>
                  </a:rPr>
                  <a:t>相互作用势能</a:t>
                </a:r>
                <a:r>
                  <a:rPr lang="zh-CN" altLang="en-US" sz="2400" b="0" i="0" baseline="0">
                    <a:solidFill>
                      <a:schemeClr val="tx1"/>
                    </a:solidFill>
                    <a:effectLst/>
                    <a:uFillTx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（</a:t>
                </a:r>
                <a:r>
                  <a:rPr lang="en-US" sz="2400" b="0" i="0" baseline="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kT</a:t>
                </a:r>
                <a:r>
                  <a:rPr lang="zh-CN" altLang="en-US" sz="2400" b="0" i="0" baseline="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）</a:t>
                </a:r>
                <a:endParaRPr lang="en-US" sz="2400" b="0">
                  <a:solidFill>
                    <a:schemeClr val="tx1"/>
                  </a:solidFill>
                  <a:effectLst/>
                  <a:latin typeface="Arial" panose="020B0604020202090204" pitchFamily="7" charset="0"/>
                  <a:ea typeface="Arial" panose="020B0604020202090204" pitchFamily="7" charset="0"/>
                  <a:cs typeface="Arial" panose="020B0604020202090204" pitchFamily="7" charset="0"/>
                  <a:sym typeface="Arial" panose="020B0604020202090204" pitchFamily="7" charset="0"/>
                </a:endParaRPr>
              </a:p>
            </c:rich>
          </c:tx>
          <c:layout>
            <c:manualLayout>
              <c:xMode val="edge"/>
              <c:yMode val="edge"/>
              <c:x val="0.0121887858293059"/>
              <c:y val="0.2206479592922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  <c:crossAx val="-2466627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accent6"/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2060"/>
                </a:solidFill>
                <a:latin typeface="黑体" panose="02010609060101010101" pitchFamily="49" charset="-122"/>
                <a:ea typeface="黑体" panose="02010609060101010101" pitchFamily="49" charset="-122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ayout>
        <c:manualLayout>
          <c:xMode val="edge"/>
          <c:yMode val="edge"/>
          <c:x val="0.577885649776721"/>
          <c:y val="0.663316870738386"/>
          <c:w val="0.350774447765326"/>
          <c:h val="0.2419309533518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6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Arial" panose="020B0604020202090204" pitchFamily="7" charset="0"/>
              <a:cs typeface="Arial" panose="020B0604020202090204" pitchFamily="7" charset="0"/>
              <a:sym typeface="Arial" panose="020B060402020209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a26353-b0a2-4d15-b7fb-3973c3a4e8c4}"/>
      </c:ext>
    </c:extLst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 lang="zh-CN">
          <a:solidFill>
            <a:schemeClr val="tx1"/>
          </a:solidFill>
          <a:latin typeface="Arial" panose="020B0604020202090204" pitchFamily="7" charset="0"/>
          <a:ea typeface="Arial" panose="020B0604020202090204" pitchFamily="7" charset="0"/>
          <a:cs typeface="Arial" panose="020B0604020202090204" pitchFamily="7" charset="0"/>
          <a:sym typeface="Arial" panose="020B060402020209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199024455953"/>
          <c:y val="0.0633812240940084"/>
          <c:w val="0.754665378134541"/>
          <c:h val="0.861968007589282"/>
        </c:manualLayout>
      </c:layout>
      <c:scatterChart>
        <c:scatterStyle val="lineMarker"/>
        <c:varyColors val="0"/>
        <c:ser>
          <c:idx val="6"/>
          <c:order val="0"/>
          <c:tx>
            <c:strRef>
              <c:f>"Na₂SO₄ 30 mmol/L"</c:f>
              <c:strCache>
                <c:ptCount val="1"/>
                <c:pt idx="0">
                  <c:v>Na₂SO₄ 30 mmol/L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6">
                      <a:lumMod val="67000"/>
                    </a:schemeClr>
                  </a:gs>
                  <a:gs pos="48000">
                    <a:schemeClr val="accent6">
                      <a:lumMod val="97000"/>
                      <a:lumOff val="3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prst="angle"/>
              </a:sp3d>
            </c:spPr>
          </c:marker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'Na2SO4 3'!$C$30:$C$44</c:f>
              <c:numCache>
                <c:formatCode>0.00E+00</c:formatCode>
                <c:ptCount val="15"/>
                <c:pt idx="0">
                  <c:v>-13.7104878197935</c:v>
                </c:pt>
                <c:pt idx="1">
                  <c:v>12.7094134707692</c:v>
                </c:pt>
                <c:pt idx="2">
                  <c:v>17.0167951189</c:v>
                </c:pt>
                <c:pt idx="3">
                  <c:v>16.6926419271375</c:v>
                </c:pt>
                <c:pt idx="4">
                  <c:v>15.0474243493625</c:v>
                </c:pt>
                <c:pt idx="5">
                  <c:v>13.0776015661368</c:v>
                </c:pt>
                <c:pt idx="6">
                  <c:v>11.1413517723522</c:v>
                </c:pt>
                <c:pt idx="7">
                  <c:v>9.3714449450351</c:v>
                </c:pt>
                <c:pt idx="8">
                  <c:v>7.80976530762356</c:v>
                </c:pt>
                <c:pt idx="9">
                  <c:v>6.45920465009743</c:v>
                </c:pt>
                <c:pt idx="10">
                  <c:v>0.576117632808282</c:v>
                </c:pt>
                <c:pt idx="11">
                  <c:v>-0.202871822388409</c:v>
                </c:pt>
                <c:pt idx="12">
                  <c:v>-0.204531032021108</c:v>
                </c:pt>
                <c:pt idx="13">
                  <c:v>-0.137228892825657</c:v>
                </c:pt>
                <c:pt idx="14">
                  <c:v>-0.0884261416649329</c:v>
                </c:pt>
              </c:numCache>
            </c:numRef>
          </c:yVal>
          <c:smooth val="0"/>
        </c:ser>
        <c:ser>
          <c:idx val="7"/>
          <c:order val="1"/>
          <c:tx>
            <c:strRef>
              <c:f>"Na₂SO₄ 3 mmol/L"</c:f>
              <c:strCache>
                <c:ptCount val="1"/>
                <c:pt idx="0">
                  <c:v>Na₂SO₄ 3 mmol/L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4">
                      <a:lumMod val="0"/>
                      <a:lumOff val="100000"/>
                    </a:schemeClr>
                  </a:gs>
                  <a:gs pos="35000">
                    <a:schemeClr val="accent4">
                      <a:lumMod val="0"/>
                      <a:lumOff val="100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222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</c:marker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'Na2SO4 3'!$C$30:$C$44</c:f>
              <c:numCache>
                <c:formatCode>0.00E+00</c:formatCode>
                <c:ptCount val="15"/>
                <c:pt idx="0">
                  <c:v>-13.7104878197935</c:v>
                </c:pt>
                <c:pt idx="1">
                  <c:v>12.7094134707692</c:v>
                </c:pt>
                <c:pt idx="2">
                  <c:v>17.0167951189</c:v>
                </c:pt>
                <c:pt idx="3">
                  <c:v>16.6926419271375</c:v>
                </c:pt>
                <c:pt idx="4">
                  <c:v>15.0474243493625</c:v>
                </c:pt>
                <c:pt idx="5">
                  <c:v>13.0776015661368</c:v>
                </c:pt>
                <c:pt idx="6">
                  <c:v>11.1413517723522</c:v>
                </c:pt>
                <c:pt idx="7">
                  <c:v>9.3714449450351</c:v>
                </c:pt>
                <c:pt idx="8">
                  <c:v>7.80976530762356</c:v>
                </c:pt>
                <c:pt idx="9">
                  <c:v>6.45920465009743</c:v>
                </c:pt>
                <c:pt idx="10">
                  <c:v>0.576117632808282</c:v>
                </c:pt>
                <c:pt idx="11">
                  <c:v>-0.202871822388409</c:v>
                </c:pt>
                <c:pt idx="12">
                  <c:v>-0.204531032021108</c:v>
                </c:pt>
                <c:pt idx="13">
                  <c:v>-0.137228892825657</c:v>
                </c:pt>
                <c:pt idx="14">
                  <c:v>-0.0884261416649329</c:v>
                </c:pt>
              </c:numCache>
            </c:numRef>
          </c:yVal>
          <c:smooth val="0"/>
        </c:ser>
        <c:ser>
          <c:idx val="8"/>
          <c:order val="2"/>
          <c:tx>
            <c:strRef>
              <c:f>"Na₂SO₄ 0.3 mmol/L"</c:f>
              <c:strCache>
                <c:ptCount val="1"/>
                <c:pt idx="0">
                  <c:v>Na₂SO₄ 0.3 mmol/L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5000">
                    <a:schemeClr val="accent5">
                      <a:lumMod val="0"/>
                      <a:lumOff val="100000"/>
                    </a:schemeClr>
                  </a:gs>
                  <a:gs pos="100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prst="angle"/>
              </a:sp3d>
            </c:spPr>
          </c:marker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'Na2SO4 0.3'!$C$30:$C$44</c:f>
              <c:numCache>
                <c:formatCode>0.00E+00</c:formatCode>
                <c:ptCount val="15"/>
                <c:pt idx="0">
                  <c:v>-32.45586290447</c:v>
                </c:pt>
                <c:pt idx="1">
                  <c:v>-1.04774207230078</c:v>
                </c:pt>
                <c:pt idx="2">
                  <c:v>8.10540123498538</c:v>
                </c:pt>
                <c:pt idx="3">
                  <c:v>11.8593993405848</c:v>
                </c:pt>
                <c:pt idx="4">
                  <c:v>13.5374465941211</c:v>
                </c:pt>
                <c:pt idx="5">
                  <c:v>14.230785540477</c:v>
                </c:pt>
                <c:pt idx="6">
                  <c:v>14.3991893448164</c:v>
                </c:pt>
                <c:pt idx="7">
                  <c:v>14.2679555060496</c:v>
                </c:pt>
                <c:pt idx="8">
                  <c:v>13.9592359094147</c:v>
                </c:pt>
                <c:pt idx="9">
                  <c:v>13.5441743298152</c:v>
                </c:pt>
                <c:pt idx="10">
                  <c:v>8.51184349533602</c:v>
                </c:pt>
                <c:pt idx="11">
                  <c:v>4.94496005206695</c:v>
                </c:pt>
                <c:pt idx="12">
                  <c:v>2.82115001681707</c:v>
                </c:pt>
                <c:pt idx="13">
                  <c:v>1.59635720365591</c:v>
                </c:pt>
                <c:pt idx="14">
                  <c:v>0.898128854523352</c:v>
                </c:pt>
              </c:numCache>
            </c:numRef>
          </c:yVal>
          <c:smooth val="0"/>
        </c:ser>
        <c:ser>
          <c:idx val="9"/>
          <c:order val="3"/>
          <c:tx>
            <c:strRef>
              <c:f>"Blank"</c:f>
              <c:strCache>
                <c:ptCount val="1"/>
                <c:pt idx="0">
                  <c:v>Blank</c:v>
                </c:pt>
              </c:strCache>
            </c:strRef>
          </c:tx>
          <c:spPr>
            <a:ln w="158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5">
                      <a:lumMod val="67000"/>
                    </a:schemeClr>
                  </a:gs>
                  <a:gs pos="48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dPt>
            <c:idx val="10"/>
            <c:marker>
              <c:symbol val="circle"/>
              <c:size val="10"/>
              <c:spPr>
                <a:gradFill flip="none" rotWithShape="1">
                  <a:gsLst>
                    <a:gs pos="0">
                      <a:schemeClr val="accent5">
                        <a:lumMod val="67000"/>
                      </a:schemeClr>
                    </a:gs>
                    <a:gs pos="48000">
                      <a:schemeClr val="accent5">
                        <a:lumMod val="97000"/>
                        <a:lumOff val="3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ln w="9525">
                  <a:noFill/>
                </a:ln>
                <a:effectLst/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</c:marker>
            <c:bubble3D val="0"/>
            <c:spPr>
              <a:ln w="25400" cap="rnd">
                <a:solidFill>
                  <a:srgbClr val="002060"/>
                </a:solidFill>
                <a:round/>
              </a:ln>
              <a:effectLst/>
            </c:spPr>
          </c:dPt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Control!$C$30:$C$44</c:f>
              <c:numCache>
                <c:formatCode>0.00E+00</c:formatCode>
                <c:ptCount val="15"/>
                <c:pt idx="0">
                  <c:v>-40.8019344291053</c:v>
                </c:pt>
                <c:pt idx="1">
                  <c:v>-6.58581288263941</c:v>
                </c:pt>
                <c:pt idx="2">
                  <c:v>4.40534747631204</c:v>
                </c:pt>
                <c:pt idx="3">
                  <c:v>9.69345000965044</c:v>
                </c:pt>
                <c:pt idx="4">
                  <c:v>12.7394301798281</c:v>
                </c:pt>
                <c:pt idx="5">
                  <c:v>14.6834790504437</c:v>
                </c:pt>
                <c:pt idx="6">
                  <c:v>16.0086475593058</c:v>
                </c:pt>
                <c:pt idx="7">
                  <c:v>16.9537017846392</c:v>
                </c:pt>
                <c:pt idx="8">
                  <c:v>17.649770856718</c:v>
                </c:pt>
                <c:pt idx="9">
                  <c:v>18.1746271220146</c:v>
                </c:pt>
                <c:pt idx="10">
                  <c:v>19.8459659654509</c:v>
                </c:pt>
                <c:pt idx="11">
                  <c:v>19.7606344953984</c:v>
                </c:pt>
                <c:pt idx="12">
                  <c:v>19.3329438808572</c:v>
                </c:pt>
                <c:pt idx="13">
                  <c:v>18.8060414128577</c:v>
                </c:pt>
                <c:pt idx="14">
                  <c:v>18.2496118091804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4666272"/>
        <c:axId val="-24665184"/>
      </c:scatterChart>
      <c:valAx>
        <c:axId val="-24666272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24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defRPr>
                </a:pPr>
                <a:r>
                  <a:rPr lang="en-US" sz="2400">
                    <a:solidFill>
                      <a:schemeClr val="tx1"/>
                    </a:solidFill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d</a:t>
                </a:r>
                <a:r>
                  <a:rPr lang="en-US" sz="2400" baseline="0">
                    <a:solidFill>
                      <a:schemeClr val="tx1"/>
                    </a:solidFill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 (nm)</a:t>
                </a:r>
                <a:endParaRPr lang="en-US" sz="2400">
                  <a:solidFill>
                    <a:schemeClr val="tx1"/>
                  </a:solidFill>
                  <a:latin typeface="Arial" panose="020B0604020202090204" pitchFamily="7" charset="0"/>
                  <a:ea typeface="Arial" panose="020B0604020202090204" pitchFamily="7" charset="0"/>
                  <a:cs typeface="Arial" panose="020B0604020202090204" pitchFamily="7" charset="0"/>
                  <a:sym typeface="Arial" panose="020B0604020202090204" pitchFamily="7" charset="0"/>
                </a:endParaRPr>
              </a:p>
            </c:rich>
          </c:tx>
          <c:layout>
            <c:manualLayout>
              <c:xMode val="edge"/>
              <c:yMode val="edge"/>
              <c:x val="0.503526306260771"/>
              <c:y val="0.45772033580050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  <c:crossAx val="-24665184"/>
        <c:crossesAt val="0"/>
        <c:crossBetween val="midCat"/>
      </c:valAx>
      <c:valAx>
        <c:axId val="-24665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20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defRPr>
                </a:pPr>
                <a:r>
                  <a:rPr lang="el-GR" sz="2000" b="0" i="0" baseline="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Φ</a:t>
                </a:r>
                <a:r>
                  <a:rPr lang="en-US" sz="2000" b="0" i="0" baseline="-25000">
                    <a:solidFill>
                      <a:schemeClr val="tx1"/>
                    </a:solidFill>
                    <a:effectLst/>
                    <a:uFillTx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net</a:t>
                </a:r>
                <a:r>
                  <a:rPr lang="zh-CN" altLang="en-US" sz="2000" b="0" i="0" baseline="0">
                    <a:solidFill>
                      <a:schemeClr val="tx1"/>
                    </a:solidFill>
                    <a:effectLst/>
                    <a:uFillTx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（</a:t>
                </a:r>
                <a:r>
                  <a:rPr lang="en-US" sz="2000" b="0" i="0" baseline="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k</a:t>
                </a:r>
                <a:r>
                  <a:rPr lang="en-US" sz="2000" b="0" i="0" baseline="-2500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B</a:t>
                </a:r>
                <a:r>
                  <a:rPr lang="en-US" sz="2000" b="0" i="0" baseline="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T</a:t>
                </a:r>
                <a:r>
                  <a:rPr lang="zh-CN" altLang="en-US" sz="2000" b="0" i="0" baseline="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）</a:t>
                </a:r>
                <a:endParaRPr lang="en-US" sz="2000" b="0">
                  <a:solidFill>
                    <a:schemeClr val="tx1"/>
                  </a:solidFill>
                  <a:effectLst/>
                  <a:latin typeface="Arial" panose="020B0604020202090204" pitchFamily="7" charset="0"/>
                  <a:ea typeface="Arial" panose="020B0604020202090204" pitchFamily="7" charset="0"/>
                  <a:cs typeface="Arial" panose="020B0604020202090204" pitchFamily="7" charset="0"/>
                  <a:sym typeface="Arial" panose="020B0604020202090204" pitchFamily="7" charset="0"/>
                </a:endParaRPr>
              </a:p>
            </c:rich>
          </c:tx>
          <c:layout>
            <c:manualLayout>
              <c:xMode val="edge"/>
              <c:yMode val="edge"/>
              <c:x val="0.0447897556752775"/>
              <c:y val="0.37215419442350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  <c:crossAx val="-2466627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accent6"/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2060"/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ayout>
        <c:manualLayout>
          <c:xMode val="edge"/>
          <c:yMode val="edge"/>
          <c:x val="0.577885649776721"/>
          <c:y val="0.663316870738386"/>
          <c:w val="0.350774447765326"/>
          <c:h val="0.2419309533518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6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Arial" panose="020B0604020202090204" pitchFamily="7" charset="0"/>
              <a:cs typeface="Arial" panose="020B0604020202090204" pitchFamily="7" charset="0"/>
              <a:sym typeface="Arial" panose="020B060402020209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a26353-b0a2-4d15-b7fb-3973c3a4e8c4}"/>
      </c:ext>
    </c:extLst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 lang="zh-CN">
          <a:solidFill>
            <a:schemeClr val="tx1"/>
          </a:solidFill>
          <a:latin typeface="Arial" panose="020B0604020202090204" pitchFamily="7" charset="0"/>
          <a:ea typeface="Arial" panose="020B0604020202090204" pitchFamily="7" charset="0"/>
          <a:cs typeface="Arial" panose="020B0604020202090204" pitchFamily="7" charset="0"/>
          <a:sym typeface="Arial" panose="020B060402020209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199024455953"/>
          <c:y val="0.0633812240940084"/>
          <c:w val="0.754665378134541"/>
          <c:h val="0.861968007589282"/>
        </c:manualLayout>
      </c:layout>
      <c:scatterChart>
        <c:scatterStyle val="lineMarker"/>
        <c:varyColors val="0"/>
        <c:ser>
          <c:idx val="6"/>
          <c:order val="0"/>
          <c:tx>
            <c:strRef>
              <c:f>"PO₄³⁻ 30 mmol/L"</c:f>
              <c:strCache>
                <c:ptCount val="1"/>
                <c:pt idx="0">
                  <c:v>PO₄³⁻ 30 mmol/L</c:v>
                </c:pt>
              </c:strCache>
            </c:strRef>
          </c:tx>
          <c:spPr>
            <a:ln w="22225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6">
                      <a:lumMod val="67000"/>
                    </a:schemeClr>
                  </a:gs>
                  <a:gs pos="48000">
                    <a:schemeClr val="accent6">
                      <a:lumMod val="97000"/>
                      <a:lumOff val="3000"/>
                    </a:schemeClr>
                  </a:gs>
                  <a:gs pos="100000">
                    <a:schemeClr val="accent6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prst="angle"/>
              </a:sp3d>
            </c:spPr>
          </c:marker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'PO4 30'!$C$30:$C$44</c:f>
              <c:numCache>
                <c:formatCode>0.00E+00</c:formatCode>
                <c:ptCount val="15"/>
                <c:pt idx="0">
                  <c:v>237.722594393294</c:v>
                </c:pt>
                <c:pt idx="1">
                  <c:v>142.145511044936</c:v>
                </c:pt>
                <c:pt idx="2">
                  <c:v>78.9028123291715</c:v>
                </c:pt>
                <c:pt idx="3">
                  <c:v>42.0967933120104</c:v>
                </c:pt>
                <c:pt idx="4">
                  <c:v>21.3427549168243</c:v>
                </c:pt>
                <c:pt idx="5">
                  <c:v>9.86409282341736</c:v>
                </c:pt>
                <c:pt idx="6">
                  <c:v>3.64466973522253</c:v>
                </c:pt>
                <c:pt idx="7">
                  <c:v>0.371552496546811</c:v>
                </c:pt>
                <c:pt idx="8">
                  <c:v>-1.26987599431937</c:v>
                </c:pt>
                <c:pt idx="9">
                  <c:v>-2.02042691731402</c:v>
                </c:pt>
                <c:pt idx="10">
                  <c:v>-1.21673564379089</c:v>
                </c:pt>
                <c:pt idx="11">
                  <c:v>-0.55542343209416</c:v>
                </c:pt>
                <c:pt idx="12">
                  <c:v>-0.296618577358183</c:v>
                </c:pt>
                <c:pt idx="13">
                  <c:v>-0.174360513422499</c:v>
                </c:pt>
                <c:pt idx="14">
                  <c:v>-0.109390104151612</c:v>
                </c:pt>
              </c:numCache>
            </c:numRef>
          </c:yVal>
          <c:smooth val="0"/>
        </c:ser>
        <c:ser>
          <c:idx val="7"/>
          <c:order val="1"/>
          <c:tx>
            <c:strRef>
              <c:f>"PO₄³⁻ 3 mmol/L"</c:f>
              <c:strCache>
                <c:ptCount val="1"/>
                <c:pt idx="0">
                  <c:v>PO₄³⁻ 3 mmol/L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4">
                      <a:lumMod val="0"/>
                      <a:lumOff val="100000"/>
                    </a:schemeClr>
                  </a:gs>
                  <a:gs pos="35000">
                    <a:schemeClr val="accent4">
                      <a:lumMod val="0"/>
                      <a:lumOff val="100000"/>
                    </a:schemeClr>
                  </a:gs>
                  <a:gs pos="100000">
                    <a:schemeClr val="accent4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222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</c:marker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'PO4 3'!$C$30:$C$44</c:f>
              <c:numCache>
                <c:formatCode>0.00E+00</c:formatCode>
                <c:ptCount val="15"/>
                <c:pt idx="0">
                  <c:v>336.307974112346</c:v>
                </c:pt>
                <c:pt idx="1">
                  <c:v>304.797703586286</c:v>
                </c:pt>
                <c:pt idx="2">
                  <c:v>260.965182643981</c:v>
                </c:pt>
                <c:pt idx="3">
                  <c:v>220.478153307321</c:v>
                </c:pt>
                <c:pt idx="4">
                  <c:v>185.297183907138</c:v>
                </c:pt>
                <c:pt idx="5">
                  <c:v>155.316972990959</c:v>
                </c:pt>
                <c:pt idx="6">
                  <c:v>129.982220575381</c:v>
                </c:pt>
                <c:pt idx="7">
                  <c:v>108.664972404866</c:v>
                </c:pt>
                <c:pt idx="8">
                  <c:v>90.7725638390837</c:v>
                </c:pt>
                <c:pt idx="9">
                  <c:v>75.7782044545882</c:v>
                </c:pt>
                <c:pt idx="10">
                  <c:v>12.0823511960037</c:v>
                </c:pt>
                <c:pt idx="11">
                  <c:v>1.71412862548946</c:v>
                </c:pt>
                <c:pt idx="12">
                  <c:v>0.119199356554811</c:v>
                </c:pt>
                <c:pt idx="13">
                  <c:v>-0.0797188772305042</c:v>
                </c:pt>
                <c:pt idx="14">
                  <c:v>-0.0763057264466021</c:v>
                </c:pt>
              </c:numCache>
            </c:numRef>
          </c:yVal>
          <c:smooth val="0"/>
        </c:ser>
        <c:ser>
          <c:idx val="8"/>
          <c:order val="2"/>
          <c:tx>
            <c:strRef>
              <c:f>"PO₄³⁻ 0.3 mmol/L"</c:f>
              <c:strCache>
                <c:ptCount val="1"/>
                <c:pt idx="0">
                  <c:v>PO₄³⁻ 0.3 mmol/L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5000">
                    <a:schemeClr val="accent5">
                      <a:lumMod val="0"/>
                      <a:lumOff val="100000"/>
                    </a:schemeClr>
                  </a:gs>
                  <a:gs pos="100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 w="2540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prst="angle"/>
              </a:sp3d>
            </c:spPr>
          </c:marker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'PO4 0.3'!$C$30:$C$44</c:f>
              <c:numCache>
                <c:formatCode>0.00E+00</c:formatCode>
                <c:ptCount val="15"/>
                <c:pt idx="0">
                  <c:v>328.222331725807</c:v>
                </c:pt>
                <c:pt idx="1">
                  <c:v>340.537657161439</c:v>
                </c:pt>
                <c:pt idx="2">
                  <c:v>331.081087600641</c:v>
                </c:pt>
                <c:pt idx="3">
                  <c:v>317.114865566901</c:v>
                </c:pt>
                <c:pt idx="4">
                  <c:v>301.997941111179</c:v>
                </c:pt>
                <c:pt idx="5">
                  <c:v>286.798164531166</c:v>
                </c:pt>
                <c:pt idx="6">
                  <c:v>271.937120109058</c:v>
                </c:pt>
                <c:pt idx="7">
                  <c:v>257.598085183532</c:v>
                </c:pt>
                <c:pt idx="8">
                  <c:v>243.860913496629</c:v>
                </c:pt>
                <c:pt idx="9">
                  <c:v>230.755508304465</c:v>
                </c:pt>
                <c:pt idx="10">
                  <c:v>131.582612841438</c:v>
                </c:pt>
                <c:pt idx="11">
                  <c:v>74.6643052115967</c:v>
                </c:pt>
                <c:pt idx="12">
                  <c:v>42.3149904201378</c:v>
                </c:pt>
                <c:pt idx="13">
                  <c:v>23.967697660463</c:v>
                </c:pt>
                <c:pt idx="14">
                  <c:v>13.5700472068838</c:v>
                </c:pt>
              </c:numCache>
            </c:numRef>
          </c:yVal>
          <c:smooth val="0"/>
        </c:ser>
        <c:ser>
          <c:idx val="9"/>
          <c:order val="3"/>
          <c:tx>
            <c:strRef>
              <c:f>"Blank"</c:f>
              <c:strCache>
                <c:ptCount val="1"/>
                <c:pt idx="0">
                  <c:v>Blank</c:v>
                </c:pt>
              </c:strCache>
            </c:strRef>
          </c:tx>
          <c:spPr>
            <a:ln w="158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accent5">
                      <a:lumMod val="67000"/>
                    </a:schemeClr>
                  </a:gs>
                  <a:gs pos="48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dPt>
            <c:idx val="10"/>
            <c:marker>
              <c:symbol val="circle"/>
              <c:size val="10"/>
              <c:spPr>
                <a:gradFill flip="none" rotWithShape="1">
                  <a:gsLst>
                    <a:gs pos="0">
                      <a:schemeClr val="accent5">
                        <a:lumMod val="67000"/>
                      </a:schemeClr>
                    </a:gs>
                    <a:gs pos="48000">
                      <a:schemeClr val="accent5">
                        <a:lumMod val="97000"/>
                        <a:lumOff val="3000"/>
                      </a:schemeClr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ln w="9525">
                  <a:noFill/>
                </a:ln>
                <a:effectLst/>
                <a:scene3d>
                  <a:camera prst="orthographicFront"/>
                  <a:lightRig rig="threePt" dir="t"/>
                </a:scene3d>
                <a:sp3d>
                  <a:bevelT/>
                </a:sp3d>
              </c:spPr>
            </c:marker>
            <c:bubble3D val="0"/>
            <c:spPr>
              <a:ln w="25400" cap="rnd">
                <a:solidFill>
                  <a:srgbClr val="002060"/>
                </a:solidFill>
                <a:round/>
              </a:ln>
              <a:effectLst/>
            </c:spPr>
          </c:dPt>
          <c:dLbls>
            <c:delete val="1"/>
          </c:dLbls>
          <c:xVal>
            <c:numRef>
              <c:f>Control!$A$30:$A$44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  <c:pt idx="14">
                  <c:v>60</c:v>
                </c:pt>
              </c:numCache>
            </c:numRef>
          </c:xVal>
          <c:yVal>
            <c:numRef>
              <c:f>Control!$C$30:$C$44</c:f>
              <c:numCache>
                <c:formatCode>0.00E+00</c:formatCode>
                <c:ptCount val="15"/>
                <c:pt idx="0">
                  <c:v>-40.8019344291053</c:v>
                </c:pt>
                <c:pt idx="1">
                  <c:v>-6.58581288263941</c:v>
                </c:pt>
                <c:pt idx="2">
                  <c:v>4.40534747631204</c:v>
                </c:pt>
                <c:pt idx="3">
                  <c:v>9.69345000965044</c:v>
                </c:pt>
                <c:pt idx="4">
                  <c:v>12.7394301798281</c:v>
                </c:pt>
                <c:pt idx="5">
                  <c:v>14.6834790504437</c:v>
                </c:pt>
                <c:pt idx="6">
                  <c:v>16.0086475593058</c:v>
                </c:pt>
                <c:pt idx="7">
                  <c:v>16.9537017846392</c:v>
                </c:pt>
                <c:pt idx="8">
                  <c:v>17.649770856718</c:v>
                </c:pt>
                <c:pt idx="9">
                  <c:v>18.1746271220146</c:v>
                </c:pt>
                <c:pt idx="10">
                  <c:v>19.8459659654509</c:v>
                </c:pt>
                <c:pt idx="11">
                  <c:v>19.7606344953984</c:v>
                </c:pt>
                <c:pt idx="12">
                  <c:v>19.3329438808572</c:v>
                </c:pt>
                <c:pt idx="13">
                  <c:v>18.8060414128577</c:v>
                </c:pt>
                <c:pt idx="14">
                  <c:v>18.2496118091804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4666272"/>
        <c:axId val="-24665184"/>
      </c:scatterChart>
      <c:valAx>
        <c:axId val="-24666272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24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defRPr>
                </a:pPr>
                <a:r>
                  <a:rPr lang="en-US" sz="2400">
                    <a:solidFill>
                      <a:schemeClr val="tx1"/>
                    </a:solidFill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d</a:t>
                </a:r>
                <a:r>
                  <a:rPr lang="en-US" sz="2400" baseline="0">
                    <a:solidFill>
                      <a:schemeClr val="tx1"/>
                    </a:solidFill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 (nm)</a:t>
                </a:r>
                <a:endParaRPr lang="en-US" sz="2400">
                  <a:solidFill>
                    <a:schemeClr val="tx1"/>
                  </a:solidFill>
                  <a:latin typeface="Arial" panose="020B0604020202090204" pitchFamily="7" charset="0"/>
                  <a:ea typeface="Arial" panose="020B0604020202090204" pitchFamily="7" charset="0"/>
                  <a:cs typeface="Arial" panose="020B0604020202090204" pitchFamily="7" charset="0"/>
                  <a:sym typeface="Arial" panose="020B0604020202090204" pitchFamily="7" charset="0"/>
                </a:endParaRPr>
              </a:p>
            </c:rich>
          </c:tx>
          <c:layout>
            <c:manualLayout>
              <c:xMode val="edge"/>
              <c:yMode val="edge"/>
              <c:x val="0.446471903132086"/>
              <c:y val="0.83650258892356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  <c:crossAx val="-24665184"/>
        <c:crossesAt val="0"/>
        <c:crossBetween val="midCat"/>
      </c:valAx>
      <c:valAx>
        <c:axId val="-24665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2000" b="0" i="0" u="none" strike="noStrike" kern="1200" baseline="0">
                    <a:solidFill>
                      <a:schemeClr val="tx1"/>
                    </a:solidFill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defRPr>
                </a:pPr>
                <a:r>
                  <a:rPr lang="el-GR" sz="2000" b="0" i="0" baseline="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Φ</a:t>
                </a:r>
                <a:r>
                  <a:rPr lang="en-US" sz="2000" b="0" i="0" baseline="-25000">
                    <a:solidFill>
                      <a:schemeClr val="tx1"/>
                    </a:solidFill>
                    <a:effectLst/>
                    <a:uFillTx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net</a:t>
                </a:r>
                <a:r>
                  <a:rPr lang="zh-CN" altLang="en-US" sz="2000" b="0" i="0" baseline="0">
                    <a:solidFill>
                      <a:schemeClr val="tx1"/>
                    </a:solidFill>
                    <a:effectLst/>
                    <a:uFillTx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（</a:t>
                </a:r>
                <a:r>
                  <a:rPr lang="en-US" sz="2000" b="0" i="0" baseline="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k</a:t>
                </a:r>
                <a:r>
                  <a:rPr lang="en-US" sz="2000" b="0" i="0" baseline="-2500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B</a:t>
                </a:r>
                <a:r>
                  <a:rPr lang="en-US" sz="2000" b="0" i="0" baseline="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T</a:t>
                </a:r>
                <a:r>
                  <a:rPr lang="zh-CN" altLang="en-US" sz="2000" b="0" i="0" baseline="0">
                    <a:solidFill>
                      <a:schemeClr val="tx1"/>
                    </a:solidFill>
                    <a:effectLst/>
                    <a:latin typeface="Arial" panose="020B0604020202090204" pitchFamily="7" charset="0"/>
                    <a:ea typeface="Arial" panose="020B0604020202090204" pitchFamily="7" charset="0"/>
                    <a:cs typeface="Arial" panose="020B0604020202090204" pitchFamily="7" charset="0"/>
                    <a:sym typeface="Arial" panose="020B0604020202090204" pitchFamily="7" charset="0"/>
                  </a:rPr>
                  <a:t>）</a:t>
                </a:r>
                <a:endParaRPr lang="en-US" sz="2000" b="0">
                  <a:solidFill>
                    <a:schemeClr val="tx1"/>
                  </a:solidFill>
                  <a:effectLst/>
                  <a:latin typeface="Arial" panose="020B0604020202090204" pitchFamily="7" charset="0"/>
                  <a:ea typeface="Arial" panose="020B0604020202090204" pitchFamily="7" charset="0"/>
                  <a:cs typeface="Arial" panose="020B0604020202090204" pitchFamily="7" charset="0"/>
                  <a:sym typeface="Arial" panose="020B0604020202090204" pitchFamily="7" charset="0"/>
                </a:endParaRPr>
              </a:p>
            </c:rich>
          </c:tx>
          <c:layout>
            <c:manualLayout>
              <c:xMode val="edge"/>
              <c:yMode val="edge"/>
              <c:x val="0.0138174247495288"/>
              <c:y val="0.3721541549736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800" b="0" i="0" u="none" strike="noStrike" kern="1200" baseline="0">
                <a:solidFill>
                  <a:schemeClr val="tx1"/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  <c:crossAx val="-24666272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accent6"/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lang="zh-CN" sz="1600" b="0" i="0" u="none" strike="noStrike" kern="1200" baseline="0">
                <a:solidFill>
                  <a:srgbClr val="002060"/>
                </a:solidFill>
                <a:latin typeface="Arial" panose="020B0604020202090204" pitchFamily="7" charset="0"/>
                <a:ea typeface="Arial" panose="020B0604020202090204" pitchFamily="7" charset="0"/>
                <a:cs typeface="Arial" panose="020B0604020202090204" pitchFamily="7" charset="0"/>
                <a:sym typeface="Arial" panose="020B0604020202090204" pitchFamily="7" charset="0"/>
              </a:defRPr>
            </a:pPr>
          </a:p>
        </c:txPr>
      </c:legendEntry>
      <c:layout>
        <c:manualLayout>
          <c:xMode val="edge"/>
          <c:yMode val="edge"/>
          <c:x val="0.545283131482393"/>
          <c:y val="0.102309596791499"/>
          <c:w val="0.350774447765326"/>
          <c:h val="0.2419309533518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600" b="0" i="0" u="none" strike="noStrike" kern="1200" baseline="0">
              <a:solidFill>
                <a:schemeClr val="tx1"/>
              </a:solidFill>
              <a:latin typeface="Arial" panose="020B0604020202090204" pitchFamily="7" charset="0"/>
              <a:ea typeface="Arial" panose="020B0604020202090204" pitchFamily="7" charset="0"/>
              <a:cs typeface="Arial" panose="020B0604020202090204" pitchFamily="7" charset="0"/>
              <a:sym typeface="Arial" panose="020B060402020209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a26353-b0a2-4d15-b7fb-3973c3a4e8c4}"/>
      </c:ext>
    </c:extLst>
  </c:chart>
  <c:spPr>
    <a:solidFill>
      <a:schemeClr val="bg1"/>
    </a:solidFill>
    <a:ln w="19050" cap="flat" cmpd="sng" algn="ctr">
      <a:noFill/>
      <a:round/>
    </a:ln>
    <a:effectLst/>
  </c:spPr>
  <c:txPr>
    <a:bodyPr/>
    <a:lstStyle/>
    <a:p>
      <a:pPr>
        <a:defRPr lang="zh-CN">
          <a:solidFill>
            <a:schemeClr val="tx1"/>
          </a:solidFill>
          <a:latin typeface="Arial" panose="020B0604020202090204" pitchFamily="7" charset="0"/>
          <a:ea typeface="Arial" panose="020B0604020202090204" pitchFamily="7" charset="0"/>
          <a:cs typeface="Arial" panose="020B0604020202090204" pitchFamily="7" charset="0"/>
          <a:sym typeface="Arial" panose="020B060402020209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692257217848"/>
          <c:y val="0.0449653689122193"/>
          <c:w val="0.777529965004374"/>
          <c:h val="0.82775444736074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Control!$A$30:$A$43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</c:numCache>
            </c:numRef>
          </c:xVal>
          <c:yVal>
            <c:numRef>
              <c:f>Control!$C$30:$C$43</c:f>
              <c:numCache>
                <c:formatCode>0.00E+00</c:formatCode>
                <c:ptCount val="14"/>
                <c:pt idx="0">
                  <c:v>-40.8019344291053</c:v>
                </c:pt>
                <c:pt idx="1">
                  <c:v>-6.58581288263941</c:v>
                </c:pt>
                <c:pt idx="2">
                  <c:v>4.40534747631204</c:v>
                </c:pt>
                <c:pt idx="3">
                  <c:v>9.69345000965044</c:v>
                </c:pt>
                <c:pt idx="4">
                  <c:v>12.7394301798281</c:v>
                </c:pt>
                <c:pt idx="5">
                  <c:v>14.6834790504437</c:v>
                </c:pt>
                <c:pt idx="6">
                  <c:v>16.0086475593058</c:v>
                </c:pt>
                <c:pt idx="7">
                  <c:v>16.9537017846392</c:v>
                </c:pt>
                <c:pt idx="8">
                  <c:v>17.649770856718</c:v>
                </c:pt>
                <c:pt idx="9">
                  <c:v>18.1746271220146</c:v>
                </c:pt>
                <c:pt idx="10">
                  <c:v>19.8459659654509</c:v>
                </c:pt>
                <c:pt idx="11">
                  <c:v>19.7606344953984</c:v>
                </c:pt>
                <c:pt idx="12">
                  <c:v>19.3329438808572</c:v>
                </c:pt>
                <c:pt idx="13">
                  <c:v>18.8060414128577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599824"/>
        <c:axId val="-1989597648"/>
      </c:scatterChart>
      <c:valAx>
        <c:axId val="-1989599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762685914261"/>
              <c:y val="0.8184951881014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597648"/>
        <c:crossesAt val="0"/>
        <c:crossBetween val="midCat"/>
      </c:valAx>
      <c:valAx>
        <c:axId val="-1989597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>
                    <a:latin typeface="Calibri" panose="020F0502020204030204" pitchFamily="34" charset="0"/>
                  </a:rPr>
                  <a:t>Φ</a:t>
                </a:r>
                <a:r>
                  <a:rPr lang="en-US" sz="1800">
                    <a:latin typeface="Calibri" panose="020F0502020204030204" pitchFamily="34" charset="0"/>
                  </a:rPr>
                  <a:t>(net/K</a:t>
                </a:r>
                <a:r>
                  <a:rPr lang="en-US" sz="1800" baseline="-25000">
                    <a:latin typeface="Calibri" panose="020F0502020204030204" pitchFamily="34" charset="0"/>
                  </a:rPr>
                  <a:t>B</a:t>
                </a:r>
                <a:r>
                  <a:rPr lang="en-US" sz="1800">
                    <a:latin typeface="Calibri" panose="020F0502020204030204" pitchFamily="34" charset="0"/>
                  </a:rPr>
                  <a:t>T)</a:t>
                </a:r>
                <a:endParaRPr lang="en-US" sz="1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59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041488f-5d14-4017-b8b9-475ff5bc13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692257217848"/>
          <c:y val="0.0449653689122193"/>
          <c:w val="0.777529965004374"/>
          <c:h val="0.82775444736074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'NaCl 0.3'!$A$30:$A$43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</c:numCache>
            </c:numRef>
          </c:xVal>
          <c:yVal>
            <c:numRef>
              <c:f>'NaCl 0.3'!$C$30:$C$43</c:f>
              <c:numCache>
                <c:formatCode>0.00E+00</c:formatCode>
                <c:ptCount val="14"/>
                <c:pt idx="0">
                  <c:v>-1.95840942097496</c:v>
                </c:pt>
                <c:pt idx="1">
                  <c:v>0.459852427566712</c:v>
                </c:pt>
                <c:pt idx="2">
                  <c:v>1.0030219977516</c:v>
                </c:pt>
                <c:pt idx="3">
                  <c:v>1.16294751332655</c:v>
                </c:pt>
                <c:pt idx="4">
                  <c:v>1.19827618793017</c:v>
                </c:pt>
                <c:pt idx="5">
                  <c:v>1.18395713755512</c:v>
                </c:pt>
                <c:pt idx="6">
                  <c:v>1.14785645691013</c:v>
                </c:pt>
                <c:pt idx="7">
                  <c:v>1.10200898220149</c:v>
                </c:pt>
                <c:pt idx="8">
                  <c:v>1.05214904195924</c:v>
                </c:pt>
                <c:pt idx="9">
                  <c:v>1.00119460918435</c:v>
                </c:pt>
                <c:pt idx="10">
                  <c:v>0.578205658750842</c:v>
                </c:pt>
                <c:pt idx="11">
                  <c:v>0.328280742582378</c:v>
                </c:pt>
                <c:pt idx="12">
                  <c:v>0.186067814687298</c:v>
                </c:pt>
                <c:pt idx="13">
                  <c:v>0.105423912932296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793936"/>
        <c:axId val="-1989775440"/>
      </c:scatterChart>
      <c:valAx>
        <c:axId val="-1989793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762685914261"/>
              <c:y val="0.8184951881014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75440"/>
        <c:crossesAt val="0"/>
        <c:crossBetween val="midCat"/>
      </c:valAx>
      <c:valAx>
        <c:axId val="-1989775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>
                    <a:latin typeface="Calibri" panose="020F0502020204030204" pitchFamily="34" charset="0"/>
                  </a:rPr>
                  <a:t>Φ</a:t>
                </a:r>
                <a:r>
                  <a:rPr lang="en-US" sz="1800">
                    <a:latin typeface="Calibri" panose="020F0502020204030204" pitchFamily="34" charset="0"/>
                  </a:rPr>
                  <a:t>(net/K</a:t>
                </a:r>
                <a:r>
                  <a:rPr lang="en-US" sz="1800" baseline="-25000">
                    <a:latin typeface="Calibri" panose="020F0502020204030204" pitchFamily="34" charset="0"/>
                  </a:rPr>
                  <a:t>B</a:t>
                </a:r>
                <a:r>
                  <a:rPr lang="en-US" sz="1800">
                    <a:latin typeface="Calibri" panose="020F0502020204030204" pitchFamily="34" charset="0"/>
                  </a:rPr>
                  <a:t>T)</a:t>
                </a:r>
                <a:endParaRPr lang="en-US" sz="1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9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1e1114-aea8-4e7d-a006-edc4f9412e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692257217848"/>
          <c:y val="0.0449653689122193"/>
          <c:w val="0.777529965004374"/>
          <c:h val="0.82775444736074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'NaCl 3'!$A$30:$A$43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</c:numCache>
            </c:numRef>
          </c:xVal>
          <c:yVal>
            <c:numRef>
              <c:f>'NaCl 3'!$C$30:$C$43</c:f>
              <c:numCache>
                <c:formatCode>0.00E+00</c:formatCode>
                <c:ptCount val="14"/>
                <c:pt idx="0">
                  <c:v>-39.2466881201519</c:v>
                </c:pt>
                <c:pt idx="1">
                  <c:v>-11.4842333847588</c:v>
                </c:pt>
                <c:pt idx="2">
                  <c:v>-3.94699501540106</c:v>
                </c:pt>
                <c:pt idx="3">
                  <c:v>-1.10343471116745</c:v>
                </c:pt>
                <c:pt idx="4">
                  <c:v>0.0629418457803781</c:v>
                </c:pt>
                <c:pt idx="5">
                  <c:v>0.513566704785315</c:v>
                </c:pt>
                <c:pt idx="6">
                  <c:v>0.634154596160377</c:v>
                </c:pt>
                <c:pt idx="7">
                  <c:v>0.600527455041488</c:v>
                </c:pt>
                <c:pt idx="8">
                  <c:v>0.498893259307456</c:v>
                </c:pt>
                <c:pt idx="9">
                  <c:v>0.373077037172395</c:v>
                </c:pt>
                <c:pt idx="10">
                  <c:v>-0.321552202075668</c:v>
                </c:pt>
                <c:pt idx="11">
                  <c:v>-0.283962303897308</c:v>
                </c:pt>
                <c:pt idx="12">
                  <c:v>-0.176954239465207</c:v>
                </c:pt>
                <c:pt idx="13">
                  <c:v>-0.106531894285837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784144"/>
        <c:axId val="-1989767280"/>
      </c:scatterChart>
      <c:valAx>
        <c:axId val="-198978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762685914261"/>
              <c:y val="0.8184951881014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67280"/>
        <c:crossesAt val="0"/>
        <c:crossBetween val="midCat"/>
      </c:valAx>
      <c:valAx>
        <c:axId val="-1989767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>
                    <a:latin typeface="Calibri" panose="020F0502020204030204" pitchFamily="34" charset="0"/>
                  </a:rPr>
                  <a:t>Φ</a:t>
                </a:r>
                <a:r>
                  <a:rPr lang="en-US" sz="1800">
                    <a:latin typeface="Calibri" panose="020F0502020204030204" pitchFamily="34" charset="0"/>
                  </a:rPr>
                  <a:t>(net/K</a:t>
                </a:r>
                <a:r>
                  <a:rPr lang="en-US" sz="1800" baseline="-25000">
                    <a:latin typeface="Calibri" panose="020F0502020204030204" pitchFamily="34" charset="0"/>
                  </a:rPr>
                  <a:t>B</a:t>
                </a:r>
                <a:r>
                  <a:rPr lang="en-US" sz="1800">
                    <a:latin typeface="Calibri" panose="020F0502020204030204" pitchFamily="34" charset="0"/>
                  </a:rPr>
                  <a:t>T)</a:t>
                </a:r>
                <a:endParaRPr lang="en-US" sz="1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8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38c872-0f04-40f3-9b69-daf9e4ecc0d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692257217848"/>
          <c:y val="0.0449653689122193"/>
          <c:w val="0.777529965004374"/>
          <c:h val="0.82775444736074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'NaCl 30'!$A$30:$A$43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</c:numCache>
            </c:numRef>
          </c:xVal>
          <c:yVal>
            <c:numRef>
              <c:f>'NaCl 30'!$C$30:$C$43</c:f>
              <c:numCache>
                <c:formatCode>0.00E+00</c:formatCode>
                <c:ptCount val="14"/>
                <c:pt idx="0">
                  <c:v>-44.3339442624205</c:v>
                </c:pt>
                <c:pt idx="1">
                  <c:v>-17.8956976272785</c:v>
                </c:pt>
                <c:pt idx="2">
                  <c:v>-11.674303724717</c:v>
                </c:pt>
                <c:pt idx="3">
                  <c:v>-9.09509535002138</c:v>
                </c:pt>
                <c:pt idx="4">
                  <c:v>-7.5437239072724</c:v>
                </c:pt>
                <c:pt idx="5">
                  <c:v>-6.39900976840044</c:v>
                </c:pt>
                <c:pt idx="6">
                  <c:v>-5.47968477384488</c:v>
                </c:pt>
                <c:pt idx="7">
                  <c:v>-4.71954133766553</c:v>
                </c:pt>
                <c:pt idx="8">
                  <c:v>-4.08533217400725</c:v>
                </c:pt>
                <c:pt idx="9">
                  <c:v>-3.55450748728848</c:v>
                </c:pt>
                <c:pt idx="10">
                  <c:v>-1.16107624260687</c:v>
                </c:pt>
                <c:pt idx="11">
                  <c:v>-0.525471523663059</c:v>
                </c:pt>
                <c:pt idx="12">
                  <c:v>-0.279686281742762</c:v>
                </c:pt>
                <c:pt idx="13">
                  <c:v>-0.163933355230625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790128"/>
        <c:axId val="-1989774352"/>
      </c:scatterChart>
      <c:valAx>
        <c:axId val="-198979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762685914261"/>
              <c:y val="0.8184951881014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74352"/>
        <c:crossesAt val="0"/>
        <c:crossBetween val="midCat"/>
      </c:valAx>
      <c:valAx>
        <c:axId val="-1989774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>
                    <a:latin typeface="Calibri" panose="020F0502020204030204" pitchFamily="34" charset="0"/>
                  </a:rPr>
                  <a:t>Φ</a:t>
                </a:r>
                <a:r>
                  <a:rPr lang="en-US" sz="1800">
                    <a:latin typeface="Calibri" panose="020F0502020204030204" pitchFamily="34" charset="0"/>
                  </a:rPr>
                  <a:t>(net/K</a:t>
                </a:r>
                <a:r>
                  <a:rPr lang="en-US" sz="1800" baseline="-25000">
                    <a:latin typeface="Calibri" panose="020F0502020204030204" pitchFamily="34" charset="0"/>
                  </a:rPr>
                  <a:t>B</a:t>
                </a:r>
                <a:r>
                  <a:rPr lang="en-US" sz="1800">
                    <a:latin typeface="Calibri" panose="020F0502020204030204" pitchFamily="34" charset="0"/>
                  </a:rPr>
                  <a:t>T)</a:t>
                </a:r>
                <a:endParaRPr lang="en-US" sz="1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9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cf204b4-c38b-444f-b86b-f913ee4f5e5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692257217848"/>
          <c:y val="0.0449653689122193"/>
          <c:w val="0.777529965004374"/>
          <c:h val="0.82775444736074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'Na2SO4 0.3'!$A$30:$A$43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</c:numCache>
            </c:numRef>
          </c:xVal>
          <c:yVal>
            <c:numRef>
              <c:f>'Na2SO4 0.3'!$C$30:$C$43</c:f>
              <c:numCache>
                <c:formatCode>0.00E+00</c:formatCode>
                <c:ptCount val="14"/>
                <c:pt idx="0">
                  <c:v>-32.45586290447</c:v>
                </c:pt>
                <c:pt idx="1">
                  <c:v>-1.04774207230078</c:v>
                </c:pt>
                <c:pt idx="2">
                  <c:v>8.10540123498538</c:v>
                </c:pt>
                <c:pt idx="3">
                  <c:v>11.8593993405848</c:v>
                </c:pt>
                <c:pt idx="4">
                  <c:v>13.5374465941211</c:v>
                </c:pt>
                <c:pt idx="5">
                  <c:v>14.230785540477</c:v>
                </c:pt>
                <c:pt idx="6">
                  <c:v>14.3991893448164</c:v>
                </c:pt>
                <c:pt idx="7">
                  <c:v>14.2679555060496</c:v>
                </c:pt>
                <c:pt idx="8">
                  <c:v>13.9592359094147</c:v>
                </c:pt>
                <c:pt idx="9">
                  <c:v>13.5441743298152</c:v>
                </c:pt>
                <c:pt idx="10">
                  <c:v>8.51184349533602</c:v>
                </c:pt>
                <c:pt idx="11">
                  <c:v>4.94496005206695</c:v>
                </c:pt>
                <c:pt idx="12">
                  <c:v>2.82115001681707</c:v>
                </c:pt>
                <c:pt idx="13">
                  <c:v>1.59635720365591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783600"/>
        <c:axId val="-1989784688"/>
      </c:scatterChart>
      <c:valAx>
        <c:axId val="-198978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762685914261"/>
              <c:y val="0.8184951881014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84688"/>
        <c:crossesAt val="0"/>
        <c:crossBetween val="midCat"/>
      </c:valAx>
      <c:valAx>
        <c:axId val="-1989784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>
                    <a:latin typeface="Calibri" panose="020F0502020204030204" pitchFamily="34" charset="0"/>
                  </a:rPr>
                  <a:t>Φ</a:t>
                </a:r>
                <a:r>
                  <a:rPr lang="en-US" sz="1800">
                    <a:latin typeface="Calibri" panose="020F0502020204030204" pitchFamily="34" charset="0"/>
                  </a:rPr>
                  <a:t>(net/K</a:t>
                </a:r>
                <a:r>
                  <a:rPr lang="en-US" sz="1800" baseline="-25000">
                    <a:latin typeface="Calibri" panose="020F0502020204030204" pitchFamily="34" charset="0"/>
                  </a:rPr>
                  <a:t>B</a:t>
                </a:r>
                <a:r>
                  <a:rPr lang="en-US" sz="1800">
                    <a:latin typeface="Calibri" panose="020F0502020204030204" pitchFamily="34" charset="0"/>
                  </a:rPr>
                  <a:t>T)</a:t>
                </a:r>
                <a:endParaRPr lang="en-US" sz="1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8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216bb3-c52d-4254-bc78-21d696fa2f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692257217848"/>
          <c:y val="0.0449653689122193"/>
          <c:w val="0.777529965004374"/>
          <c:h val="0.82775444736074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'Na2SO4 3'!$A$30:$A$43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</c:numCache>
            </c:numRef>
          </c:xVal>
          <c:yVal>
            <c:numRef>
              <c:f>'Na2SO4 3'!$C$30:$C$43</c:f>
              <c:numCache>
                <c:formatCode>0.00E+00</c:formatCode>
                <c:ptCount val="14"/>
                <c:pt idx="0">
                  <c:v>-13.7104878197935</c:v>
                </c:pt>
                <c:pt idx="1">
                  <c:v>12.7094134707692</c:v>
                </c:pt>
                <c:pt idx="2">
                  <c:v>17.0167951189</c:v>
                </c:pt>
                <c:pt idx="3">
                  <c:v>16.6926419271375</c:v>
                </c:pt>
                <c:pt idx="4">
                  <c:v>15.0474243493625</c:v>
                </c:pt>
                <c:pt idx="5">
                  <c:v>13.0776015661368</c:v>
                </c:pt>
                <c:pt idx="6">
                  <c:v>11.1413517723522</c:v>
                </c:pt>
                <c:pt idx="7">
                  <c:v>9.3714449450351</c:v>
                </c:pt>
                <c:pt idx="8">
                  <c:v>7.80976530762356</c:v>
                </c:pt>
                <c:pt idx="9">
                  <c:v>6.45920465009743</c:v>
                </c:pt>
                <c:pt idx="10">
                  <c:v>0.576117632808282</c:v>
                </c:pt>
                <c:pt idx="11">
                  <c:v>-0.202871822388409</c:v>
                </c:pt>
                <c:pt idx="12">
                  <c:v>-0.204531032021108</c:v>
                </c:pt>
                <c:pt idx="13">
                  <c:v>-0.137228892825657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783600"/>
        <c:axId val="-1989784688"/>
      </c:scatterChart>
      <c:valAx>
        <c:axId val="-198978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762685914261"/>
              <c:y val="0.8184951881014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84688"/>
        <c:crossesAt val="0"/>
        <c:crossBetween val="midCat"/>
      </c:valAx>
      <c:valAx>
        <c:axId val="-1989784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>
                    <a:latin typeface="Calibri" panose="020F0502020204030204" pitchFamily="34" charset="0"/>
                  </a:rPr>
                  <a:t>Φ</a:t>
                </a:r>
                <a:r>
                  <a:rPr lang="en-US" sz="1800">
                    <a:latin typeface="Calibri" panose="020F0502020204030204" pitchFamily="34" charset="0"/>
                  </a:rPr>
                  <a:t>(net/K</a:t>
                </a:r>
                <a:r>
                  <a:rPr lang="en-US" sz="1800" baseline="-25000">
                    <a:latin typeface="Calibri" panose="020F0502020204030204" pitchFamily="34" charset="0"/>
                  </a:rPr>
                  <a:t>B</a:t>
                </a:r>
                <a:r>
                  <a:rPr lang="en-US" sz="1800">
                    <a:latin typeface="Calibri" panose="020F0502020204030204" pitchFamily="34" charset="0"/>
                  </a:rPr>
                  <a:t>T)</a:t>
                </a:r>
                <a:endParaRPr lang="en-US" sz="1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8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2beda3c-4784-4813-8e6b-82130de02f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692257217848"/>
          <c:y val="0.0449653689122193"/>
          <c:w val="0.777529965004374"/>
          <c:h val="0.82775444736074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'Na2SO4 30'!$A$30:$A$43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</c:numCache>
            </c:numRef>
          </c:xVal>
          <c:yVal>
            <c:numRef>
              <c:f>'Na2SO4 30'!$C$30:$C$43</c:f>
              <c:numCache>
                <c:formatCode>0.00E+00</c:formatCode>
                <c:ptCount val="14"/>
                <c:pt idx="0">
                  <c:v>-11.7859189764679</c:v>
                </c:pt>
                <c:pt idx="1">
                  <c:v>1.27346576333719</c:v>
                </c:pt>
                <c:pt idx="2">
                  <c:v>-1.12831872216889</c:v>
                </c:pt>
                <c:pt idx="3">
                  <c:v>-3.53706219865437</c:v>
                </c:pt>
                <c:pt idx="4">
                  <c:v>-4.79037952179428</c:v>
                </c:pt>
                <c:pt idx="5">
                  <c:v>-5.19352022278276</c:v>
                </c:pt>
                <c:pt idx="6">
                  <c:v>-5.11053110426463</c:v>
                </c:pt>
                <c:pt idx="7">
                  <c:v>-4.78837901577852</c:v>
                </c:pt>
                <c:pt idx="8">
                  <c:v>-4.37160251410257</c:v>
                </c:pt>
                <c:pt idx="9">
                  <c:v>-3.93779849207309</c:v>
                </c:pt>
                <c:pt idx="10">
                  <c:v>-1.39643772935998</c:v>
                </c:pt>
                <c:pt idx="11">
                  <c:v>-0.646420953104551</c:v>
                </c:pt>
                <c:pt idx="12">
                  <c:v>-0.35058417542301</c:v>
                </c:pt>
                <c:pt idx="13">
                  <c:v>-0.208889413134546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783600"/>
        <c:axId val="-1989784688"/>
      </c:scatterChart>
      <c:valAx>
        <c:axId val="-198978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762685914261"/>
              <c:y val="0.8184951881014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84688"/>
        <c:crossesAt val="0"/>
        <c:crossBetween val="midCat"/>
      </c:valAx>
      <c:valAx>
        <c:axId val="-19897846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>
                    <a:latin typeface="Calibri" panose="020F0502020204030204" pitchFamily="34" charset="0"/>
                  </a:rPr>
                  <a:t>Φ</a:t>
                </a:r>
                <a:r>
                  <a:rPr lang="en-US" sz="1800">
                    <a:latin typeface="Calibri" panose="020F0502020204030204" pitchFamily="34" charset="0"/>
                  </a:rPr>
                  <a:t>(net/K</a:t>
                </a:r>
                <a:r>
                  <a:rPr lang="en-US" sz="1800" baseline="-25000">
                    <a:latin typeface="Calibri" panose="020F0502020204030204" pitchFamily="34" charset="0"/>
                  </a:rPr>
                  <a:t>B</a:t>
                </a:r>
                <a:r>
                  <a:rPr lang="en-US" sz="1800">
                    <a:latin typeface="Calibri" panose="020F0502020204030204" pitchFamily="34" charset="0"/>
                  </a:rPr>
                  <a:t>T)</a:t>
                </a:r>
                <a:endParaRPr lang="en-US" sz="1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8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6604d5-67a4-4901-aaca-d648d80e922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692257217848"/>
          <c:y val="0.0449653689122193"/>
          <c:w val="0.777529965004374"/>
          <c:h val="0.82775444736074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'PO4 0.3'!$A$30:$A$43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</c:numCache>
            </c:numRef>
          </c:xVal>
          <c:yVal>
            <c:numRef>
              <c:f>'PO4 0.3'!$C$30:$C$43</c:f>
              <c:numCache>
                <c:formatCode>0.00E+00</c:formatCode>
                <c:ptCount val="14"/>
                <c:pt idx="0">
                  <c:v>328.222331725807</c:v>
                </c:pt>
                <c:pt idx="1">
                  <c:v>340.537657161439</c:v>
                </c:pt>
                <c:pt idx="2">
                  <c:v>331.081087600641</c:v>
                </c:pt>
                <c:pt idx="3">
                  <c:v>317.114865566901</c:v>
                </c:pt>
                <c:pt idx="4">
                  <c:v>301.997941111179</c:v>
                </c:pt>
                <c:pt idx="5">
                  <c:v>286.798164531166</c:v>
                </c:pt>
                <c:pt idx="6">
                  <c:v>271.937120109058</c:v>
                </c:pt>
                <c:pt idx="7">
                  <c:v>257.598085183532</c:v>
                </c:pt>
                <c:pt idx="8">
                  <c:v>243.860913496629</c:v>
                </c:pt>
                <c:pt idx="9">
                  <c:v>230.755508304465</c:v>
                </c:pt>
                <c:pt idx="10">
                  <c:v>131.582612841438</c:v>
                </c:pt>
                <c:pt idx="11">
                  <c:v>74.6643052115967</c:v>
                </c:pt>
                <c:pt idx="12">
                  <c:v>42.3149904201378</c:v>
                </c:pt>
                <c:pt idx="13">
                  <c:v>23.967697660463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772720"/>
        <c:axId val="-1989781424"/>
      </c:scatterChart>
      <c:valAx>
        <c:axId val="-1989772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762685914261"/>
              <c:y val="0.8184951881014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81424"/>
        <c:crossesAt val="0"/>
        <c:crossBetween val="midCat"/>
      </c:valAx>
      <c:valAx>
        <c:axId val="-198978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>
                    <a:latin typeface="Calibri" panose="020F0502020204030204" pitchFamily="34" charset="0"/>
                  </a:rPr>
                  <a:t>Φ</a:t>
                </a:r>
                <a:r>
                  <a:rPr lang="en-US" sz="1800">
                    <a:latin typeface="Calibri" panose="020F0502020204030204" pitchFamily="34" charset="0"/>
                  </a:rPr>
                  <a:t>(net/K</a:t>
                </a:r>
                <a:r>
                  <a:rPr lang="en-US" sz="1800" baseline="-25000">
                    <a:latin typeface="Calibri" panose="020F0502020204030204" pitchFamily="34" charset="0"/>
                  </a:rPr>
                  <a:t>B</a:t>
                </a:r>
                <a:r>
                  <a:rPr lang="en-US" sz="1800">
                    <a:latin typeface="Calibri" panose="020F0502020204030204" pitchFamily="34" charset="0"/>
                  </a:rPr>
                  <a:t>T)</a:t>
                </a:r>
                <a:endParaRPr lang="en-US" sz="1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72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b67e18-0773-4b53-9a36-324ddc29d4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692257217848"/>
          <c:y val="0.0449653689122193"/>
          <c:w val="0.777529965004374"/>
          <c:h val="0.82775444736074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'PO4 3'!$A$30:$A$43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</c:numCache>
            </c:numRef>
          </c:xVal>
          <c:yVal>
            <c:numRef>
              <c:f>'PO4 3'!$C$30:$C$43</c:f>
              <c:numCache>
                <c:formatCode>0.00E+00</c:formatCode>
                <c:ptCount val="14"/>
                <c:pt idx="0">
                  <c:v>336.307974112346</c:v>
                </c:pt>
                <c:pt idx="1">
                  <c:v>304.797703586286</c:v>
                </c:pt>
                <c:pt idx="2">
                  <c:v>260.965182643981</c:v>
                </c:pt>
                <c:pt idx="3">
                  <c:v>220.478153307321</c:v>
                </c:pt>
                <c:pt idx="4">
                  <c:v>185.297183907138</c:v>
                </c:pt>
                <c:pt idx="5">
                  <c:v>155.316972990959</c:v>
                </c:pt>
                <c:pt idx="6">
                  <c:v>129.982220575381</c:v>
                </c:pt>
                <c:pt idx="7">
                  <c:v>108.664972404866</c:v>
                </c:pt>
                <c:pt idx="8">
                  <c:v>90.7725638390837</c:v>
                </c:pt>
                <c:pt idx="9">
                  <c:v>75.7782044545882</c:v>
                </c:pt>
                <c:pt idx="10">
                  <c:v>12.0823511960037</c:v>
                </c:pt>
                <c:pt idx="11">
                  <c:v>1.71412862548946</c:v>
                </c:pt>
                <c:pt idx="12">
                  <c:v>0.119199356554811</c:v>
                </c:pt>
                <c:pt idx="13">
                  <c:v>-0.0797188772305042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780880"/>
        <c:axId val="-1989789584"/>
      </c:scatterChart>
      <c:valAx>
        <c:axId val="-198978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762685914261"/>
              <c:y val="0.8184951881014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89584"/>
        <c:crossesAt val="0"/>
        <c:crossBetween val="midCat"/>
      </c:valAx>
      <c:valAx>
        <c:axId val="-19897895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>
                    <a:latin typeface="Calibri" panose="020F0502020204030204" pitchFamily="34" charset="0"/>
                  </a:rPr>
                  <a:t>Φ</a:t>
                </a:r>
                <a:r>
                  <a:rPr lang="en-US" sz="1800">
                    <a:latin typeface="Calibri" panose="020F0502020204030204" pitchFamily="34" charset="0"/>
                  </a:rPr>
                  <a:t>(net/K</a:t>
                </a:r>
                <a:r>
                  <a:rPr lang="en-US" sz="1800" baseline="-25000">
                    <a:latin typeface="Calibri" panose="020F0502020204030204" pitchFamily="34" charset="0"/>
                  </a:rPr>
                  <a:t>B</a:t>
                </a:r>
                <a:r>
                  <a:rPr lang="en-US" sz="1800">
                    <a:latin typeface="Calibri" panose="020F0502020204030204" pitchFamily="34" charset="0"/>
                  </a:rPr>
                  <a:t>T)</a:t>
                </a:r>
                <a:endParaRPr lang="en-US" sz="1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8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5199d9-9646-4f14-a48d-dcd94976f9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125728559534"/>
          <c:y val="0.0902359221629068"/>
          <c:w val="0.777529965004374"/>
          <c:h val="0.82775444736074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'PO4 30'!$A$30:$A$43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20</c:v>
                </c:pt>
                <c:pt idx="11">
                  <c:v>30</c:v>
                </c:pt>
                <c:pt idx="12">
                  <c:v>40</c:v>
                </c:pt>
                <c:pt idx="13">
                  <c:v>50</c:v>
                </c:pt>
              </c:numCache>
            </c:numRef>
          </c:xVal>
          <c:yVal>
            <c:numRef>
              <c:f>'PO4 30'!$C$30:$C$43</c:f>
              <c:numCache>
                <c:formatCode>0.00E+00</c:formatCode>
                <c:ptCount val="14"/>
                <c:pt idx="0">
                  <c:v>237.722594393294</c:v>
                </c:pt>
                <c:pt idx="1">
                  <c:v>142.145511044936</c:v>
                </c:pt>
                <c:pt idx="2">
                  <c:v>78.9028123291715</c:v>
                </c:pt>
                <c:pt idx="3">
                  <c:v>42.0967933120104</c:v>
                </c:pt>
                <c:pt idx="4">
                  <c:v>21.3427549168243</c:v>
                </c:pt>
                <c:pt idx="5">
                  <c:v>9.86409282341736</c:v>
                </c:pt>
                <c:pt idx="6">
                  <c:v>3.64466973522253</c:v>
                </c:pt>
                <c:pt idx="7">
                  <c:v>0.371552496546811</c:v>
                </c:pt>
                <c:pt idx="8">
                  <c:v>-1.26987599431937</c:v>
                </c:pt>
                <c:pt idx="9">
                  <c:v>-2.02042691731402</c:v>
                </c:pt>
                <c:pt idx="10">
                  <c:v>-1.21673564379089</c:v>
                </c:pt>
                <c:pt idx="11">
                  <c:v>-0.55542343209416</c:v>
                </c:pt>
                <c:pt idx="12">
                  <c:v>-0.296618577358183</c:v>
                </c:pt>
                <c:pt idx="13">
                  <c:v>-0.174360513422499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793392"/>
        <c:axId val="-1989764560"/>
      </c:scatterChart>
      <c:valAx>
        <c:axId val="-1989793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5762685914261"/>
              <c:y val="0.8184951881014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64560"/>
        <c:crossesAt val="0"/>
        <c:crossBetween val="midCat"/>
      </c:valAx>
      <c:valAx>
        <c:axId val="-1989764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800">
                    <a:latin typeface="Calibri" panose="020F0502020204030204" pitchFamily="34" charset="0"/>
                  </a:rPr>
                  <a:t>Φ</a:t>
                </a:r>
                <a:r>
                  <a:rPr lang="en-US" sz="1800">
                    <a:latin typeface="Calibri" panose="020F0502020204030204" pitchFamily="34" charset="0"/>
                  </a:rPr>
                  <a:t>(net/K</a:t>
                </a:r>
                <a:r>
                  <a:rPr lang="en-US" sz="1800" baseline="-25000">
                    <a:latin typeface="Calibri" panose="020F0502020204030204" pitchFamily="34" charset="0"/>
                  </a:rPr>
                  <a:t>B</a:t>
                </a:r>
                <a:r>
                  <a:rPr lang="en-US" sz="1800">
                    <a:latin typeface="Calibri" panose="020F0502020204030204" pitchFamily="34" charset="0"/>
                  </a:rPr>
                  <a:t>T)</a:t>
                </a:r>
                <a:endParaRPr lang="en-US" sz="18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98979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569e44-5e76-42d2-9806-d5013042a9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458470</xdr:colOff>
      <xdr:row>4</xdr:row>
      <xdr:rowOff>40005</xdr:rowOff>
    </xdr:from>
    <xdr:to>
      <xdr:col>20</xdr:col>
      <xdr:colOff>324848</xdr:colOff>
      <xdr:row>37</xdr:row>
      <xdr:rowOff>164466</xdr:rowOff>
    </xdr:to>
    <xdr:graphicFrame>
      <xdr:nvGraphicFramePr>
        <xdr:cNvPr id="3" name="Chart 9"/>
        <xdr:cNvGraphicFramePr>
          <a:graphicFrameLocks noChangeAspect="1"/>
        </xdr:cNvGraphicFramePr>
      </xdr:nvGraphicFramePr>
      <xdr:xfrm>
        <a:off x="4565650" y="893445"/>
        <a:ext cx="7493635" cy="7165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230505</xdr:colOff>
      <xdr:row>4</xdr:row>
      <xdr:rowOff>81915</xdr:rowOff>
    </xdr:from>
    <xdr:to>
      <xdr:col>35</xdr:col>
      <xdr:colOff>96520</xdr:colOff>
      <xdr:row>37</xdr:row>
      <xdr:rowOff>177800</xdr:rowOff>
    </xdr:to>
    <xdr:graphicFrame>
      <xdr:nvGraphicFramePr>
        <xdr:cNvPr id="6" name="Chart 9"/>
        <xdr:cNvGraphicFramePr>
          <a:graphicFrameLocks noChangeAspect="1"/>
        </xdr:cNvGraphicFramePr>
      </xdr:nvGraphicFramePr>
      <xdr:xfrm>
        <a:off x="13138785" y="935355"/>
        <a:ext cx="7493635" cy="7136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367030</xdr:colOff>
      <xdr:row>4</xdr:row>
      <xdr:rowOff>101600</xdr:rowOff>
    </xdr:from>
    <xdr:to>
      <xdr:col>49</xdr:col>
      <xdr:colOff>173355</xdr:colOff>
      <xdr:row>37</xdr:row>
      <xdr:rowOff>153670</xdr:rowOff>
    </xdr:to>
    <xdr:graphicFrame>
      <xdr:nvGraphicFramePr>
        <xdr:cNvPr id="7" name="Chart 9"/>
        <xdr:cNvGraphicFramePr>
          <a:graphicFrameLocks noChangeAspect="1"/>
        </xdr:cNvGraphicFramePr>
      </xdr:nvGraphicFramePr>
      <xdr:xfrm>
        <a:off x="21489670" y="955040"/>
        <a:ext cx="7433945" cy="7092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473710</xdr:colOff>
      <xdr:row>6</xdr:row>
      <xdr:rowOff>109855</xdr:rowOff>
    </xdr:from>
    <xdr:to>
      <xdr:col>31</xdr:col>
      <xdr:colOff>477818</xdr:colOff>
      <xdr:row>19</xdr:row>
      <xdr:rowOff>40380</xdr:rowOff>
    </xdr:to>
    <xdr:grpSp>
      <xdr:nvGrpSpPr>
        <xdr:cNvPr id="2" name="グループ化 7"/>
        <xdr:cNvGrpSpPr/>
      </xdr:nvGrpSpPr>
      <xdr:grpSpPr>
        <a:xfrm>
          <a:off x="19375755" y="1390015"/>
          <a:ext cx="7821295" cy="2957195"/>
          <a:chOff x="9233648" y="3608294"/>
          <a:chExt cx="7498152" cy="2805618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9233648" y="3728197"/>
            <a:ext cx="7498152" cy="2685715"/>
          </a:xfrm>
          <a:prstGeom prst="rect">
            <a:avLst/>
          </a:prstGeom>
          <a:pattFill prst="wdUpDiag">
            <a:fgClr>
              <a:schemeClr val="accent1"/>
            </a:fgClr>
            <a:bgClr>
              <a:schemeClr val="bg1"/>
            </a:bgClr>
          </a:pattFill>
        </xdr:spPr>
      </xdr:pic>
      <xdr:cxnSp>
        <xdr:nvCxnSpPr>
          <xdr:cNvPr id="4" name="直線コネクタ 3"/>
          <xdr:cNvCxnSpPr/>
        </xdr:nvCxnSpPr>
        <xdr:spPr>
          <a:xfrm flipV="1">
            <a:off x="9300882" y="3742765"/>
            <a:ext cx="7373471" cy="2655794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線コネクタ 4"/>
          <xdr:cNvCxnSpPr/>
        </xdr:nvCxnSpPr>
        <xdr:spPr>
          <a:xfrm>
            <a:off x="9278471" y="3608294"/>
            <a:ext cx="7429500" cy="2801471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581660</xdr:colOff>
      <xdr:row>4</xdr:row>
      <xdr:rowOff>71120</xdr:rowOff>
    </xdr:from>
    <xdr:to>
      <xdr:col>17</xdr:col>
      <xdr:colOff>433705</xdr:colOff>
      <xdr:row>18</xdr:row>
      <xdr:rowOff>74629</xdr:rowOff>
    </xdr:to>
    <xdr:grpSp>
      <xdr:nvGrpSpPr>
        <xdr:cNvPr id="6" name="グループ化 10"/>
        <xdr:cNvGrpSpPr/>
      </xdr:nvGrpSpPr>
      <xdr:grpSpPr>
        <a:xfrm>
          <a:off x="12948285" y="924560"/>
          <a:ext cx="5786120" cy="3241040"/>
          <a:chOff x="10567147" y="683559"/>
          <a:chExt cx="5207634" cy="2655794"/>
        </a:xfrm>
      </xdr:grpSpPr>
      <xdr:pic>
        <xdr:nvPicPr>
          <xdr:cNvPr id="7" name="図 8"/>
          <xdr:cNvPicPr>
            <a:picLocks noChangeAspect="1" noChangeArrowheads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0567147" y="683559"/>
            <a:ext cx="5207634" cy="26557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>
        <xdr:nvSpPr>
          <xdr:cNvPr id="8" name="テキスト ボックス 9"/>
          <xdr:cNvSpPr txBox="1"/>
        </xdr:nvSpPr>
        <xdr:spPr>
          <a:xfrm>
            <a:off x="14276294" y="3003176"/>
            <a:ext cx="12531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100"/>
              <a:t>Zhang</a:t>
            </a:r>
            <a:r>
              <a:rPr kumimoji="1" lang="en-US" altLang="ja-JP" sz="1100" baseline="0"/>
              <a:t> et al. (2008)</a:t>
            </a:r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561340</xdr:colOff>
      <xdr:row>2</xdr:row>
      <xdr:rowOff>182880</xdr:rowOff>
    </xdr:from>
    <xdr:to>
      <xdr:col>9</xdr:col>
      <xdr:colOff>21179</xdr:colOff>
      <xdr:row>21</xdr:row>
      <xdr:rowOff>69029</xdr:rowOff>
    </xdr:to>
    <xdr:graphicFrame>
      <xdr:nvGraphicFramePr>
        <xdr:cNvPr id="9" name="Chart 8"/>
        <xdr:cNvGraphicFramePr/>
      </xdr:nvGraphicFramePr>
      <xdr:xfrm>
        <a:off x="6580505" y="609600"/>
        <a:ext cx="5807075" cy="4217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417978</xdr:colOff>
      <xdr:row>49</xdr:row>
      <xdr:rowOff>168087</xdr:rowOff>
    </xdr:from>
    <xdr:to>
      <xdr:col>22</xdr:col>
      <xdr:colOff>303976</xdr:colOff>
      <xdr:row>63</xdr:row>
      <xdr:rowOff>138617</xdr:rowOff>
    </xdr:to>
    <xdr:grpSp>
      <xdr:nvGrpSpPr>
        <xdr:cNvPr id="2" name="グループ化 7"/>
        <xdr:cNvGrpSpPr/>
      </xdr:nvGrpSpPr>
      <xdr:grpSpPr>
        <a:xfrm>
          <a:off x="12371070" y="10958195"/>
          <a:ext cx="8216900" cy="2957830"/>
          <a:chOff x="9233648" y="3608294"/>
          <a:chExt cx="7498152" cy="2805618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9233648" y="3728197"/>
            <a:ext cx="7498152" cy="2685715"/>
          </a:xfrm>
          <a:prstGeom prst="rect">
            <a:avLst/>
          </a:prstGeom>
          <a:pattFill prst="wdUpDiag">
            <a:fgClr>
              <a:schemeClr val="accent1"/>
            </a:fgClr>
            <a:bgClr>
              <a:schemeClr val="bg1"/>
            </a:bgClr>
          </a:pattFill>
        </xdr:spPr>
      </xdr:pic>
      <xdr:cxnSp>
        <xdr:nvCxnSpPr>
          <xdr:cNvPr id="4" name="直線コネクタ 3"/>
          <xdr:cNvCxnSpPr/>
        </xdr:nvCxnSpPr>
        <xdr:spPr>
          <a:xfrm flipV="1">
            <a:off x="9300882" y="3742765"/>
            <a:ext cx="7373471" cy="2655794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線コネクタ 4"/>
          <xdr:cNvCxnSpPr/>
        </xdr:nvCxnSpPr>
        <xdr:spPr>
          <a:xfrm>
            <a:off x="9278471" y="3608294"/>
            <a:ext cx="7429500" cy="2801471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235323</xdr:colOff>
      <xdr:row>21</xdr:row>
      <xdr:rowOff>212914</xdr:rowOff>
    </xdr:from>
    <xdr:to>
      <xdr:col>24</xdr:col>
      <xdr:colOff>201706</xdr:colOff>
      <xdr:row>37</xdr:row>
      <xdr:rowOff>22411</xdr:rowOff>
    </xdr:to>
    <xdr:grpSp>
      <xdr:nvGrpSpPr>
        <xdr:cNvPr id="6" name="グループ化 10"/>
        <xdr:cNvGrpSpPr/>
      </xdr:nvGrpSpPr>
      <xdr:grpSpPr>
        <a:xfrm>
          <a:off x="16309975" y="4971415"/>
          <a:ext cx="5378450" cy="3281045"/>
          <a:chOff x="10567147" y="683559"/>
          <a:chExt cx="5207634" cy="2655794"/>
        </a:xfrm>
      </xdr:grpSpPr>
      <xdr:pic>
        <xdr:nvPicPr>
          <xdr:cNvPr id="7" name="図 8"/>
          <xdr:cNvPicPr>
            <a:picLocks noChangeAspect="1" noChangeArrowheads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0567147" y="683559"/>
            <a:ext cx="5207634" cy="26557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>
        <xdr:nvSpPr>
          <xdr:cNvPr id="8" name="テキスト ボックス 9"/>
          <xdr:cNvSpPr txBox="1"/>
        </xdr:nvSpPr>
        <xdr:spPr>
          <a:xfrm>
            <a:off x="14276294" y="3003176"/>
            <a:ext cx="12531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100"/>
              <a:t>Zhang</a:t>
            </a:r>
            <a:r>
              <a:rPr kumimoji="1" lang="en-US" altLang="ja-JP" sz="1100" baseline="0"/>
              <a:t> et al. (2008)</a:t>
            </a:r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559435</xdr:colOff>
      <xdr:row>22</xdr:row>
      <xdr:rowOff>85090</xdr:rowOff>
    </xdr:from>
    <xdr:to>
      <xdr:col>8</xdr:col>
      <xdr:colOff>929640</xdr:colOff>
      <xdr:row>45</xdr:row>
      <xdr:rowOff>178435</xdr:rowOff>
    </xdr:to>
    <xdr:graphicFrame>
      <xdr:nvGraphicFramePr>
        <xdr:cNvPr id="9" name="Chart 8"/>
        <xdr:cNvGraphicFramePr/>
      </xdr:nvGraphicFramePr>
      <xdr:xfrm>
        <a:off x="4330700" y="5062855"/>
        <a:ext cx="5843905" cy="5052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417978</xdr:colOff>
      <xdr:row>49</xdr:row>
      <xdr:rowOff>168087</xdr:rowOff>
    </xdr:from>
    <xdr:to>
      <xdr:col>22</xdr:col>
      <xdr:colOff>303976</xdr:colOff>
      <xdr:row>63</xdr:row>
      <xdr:rowOff>138617</xdr:rowOff>
    </xdr:to>
    <xdr:grpSp>
      <xdr:nvGrpSpPr>
        <xdr:cNvPr id="2" name="グループ化 7"/>
        <xdr:cNvGrpSpPr/>
      </xdr:nvGrpSpPr>
      <xdr:grpSpPr>
        <a:xfrm>
          <a:off x="12371070" y="10958195"/>
          <a:ext cx="8216900" cy="2957830"/>
          <a:chOff x="9233648" y="3608294"/>
          <a:chExt cx="7498152" cy="2805618"/>
        </a:xfrm>
      </xdr:grpSpPr>
      <xdr:pic>
        <xdr:nvPicPr>
          <xdr:cNvPr id="3" name="Picture 1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9233648" y="3728197"/>
            <a:ext cx="7498152" cy="2685715"/>
          </a:xfrm>
          <a:prstGeom prst="rect">
            <a:avLst/>
          </a:prstGeom>
          <a:pattFill prst="wdUpDiag">
            <a:fgClr>
              <a:schemeClr val="accent1"/>
            </a:fgClr>
            <a:bgClr>
              <a:schemeClr val="bg1"/>
            </a:bgClr>
          </a:pattFill>
        </xdr:spPr>
      </xdr:pic>
      <xdr:cxnSp>
        <xdr:nvCxnSpPr>
          <xdr:cNvPr id="4" name="直線コネクタ 3"/>
          <xdr:cNvCxnSpPr/>
        </xdr:nvCxnSpPr>
        <xdr:spPr>
          <a:xfrm flipV="1">
            <a:off x="9300882" y="3742765"/>
            <a:ext cx="7373471" cy="2655794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線コネクタ 4"/>
          <xdr:cNvCxnSpPr/>
        </xdr:nvCxnSpPr>
        <xdr:spPr>
          <a:xfrm>
            <a:off x="9278471" y="3608294"/>
            <a:ext cx="7429500" cy="2801471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235323</xdr:colOff>
      <xdr:row>21</xdr:row>
      <xdr:rowOff>212914</xdr:rowOff>
    </xdr:from>
    <xdr:to>
      <xdr:col>24</xdr:col>
      <xdr:colOff>201706</xdr:colOff>
      <xdr:row>37</xdr:row>
      <xdr:rowOff>22411</xdr:rowOff>
    </xdr:to>
    <xdr:grpSp>
      <xdr:nvGrpSpPr>
        <xdr:cNvPr id="6" name="グループ化 10"/>
        <xdr:cNvGrpSpPr/>
      </xdr:nvGrpSpPr>
      <xdr:grpSpPr>
        <a:xfrm>
          <a:off x="16309975" y="4971415"/>
          <a:ext cx="5378450" cy="3281045"/>
          <a:chOff x="10567147" y="683559"/>
          <a:chExt cx="5207634" cy="2655794"/>
        </a:xfrm>
      </xdr:grpSpPr>
      <xdr:pic>
        <xdr:nvPicPr>
          <xdr:cNvPr id="7" name="図 8"/>
          <xdr:cNvPicPr>
            <a:picLocks noChangeAspect="1" noChangeArrowheads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0567147" y="683559"/>
            <a:ext cx="5207634" cy="26557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>
        <xdr:nvSpPr>
          <xdr:cNvPr id="8" name="テキスト ボックス 9"/>
          <xdr:cNvSpPr txBox="1"/>
        </xdr:nvSpPr>
        <xdr:spPr>
          <a:xfrm>
            <a:off x="14276294" y="3003176"/>
            <a:ext cx="12531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100"/>
              <a:t>Zhang</a:t>
            </a:r>
            <a:r>
              <a:rPr kumimoji="1" lang="en-US" altLang="ja-JP" sz="1100" baseline="0"/>
              <a:t> et al. (2008)</a:t>
            </a:r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560295</xdr:colOff>
      <xdr:row>25</xdr:row>
      <xdr:rowOff>68353</xdr:rowOff>
    </xdr:from>
    <xdr:to>
      <xdr:col>8</xdr:col>
      <xdr:colOff>930089</xdr:colOff>
      <xdr:row>45</xdr:row>
      <xdr:rowOff>179292</xdr:rowOff>
    </xdr:to>
    <xdr:graphicFrame>
      <xdr:nvGraphicFramePr>
        <xdr:cNvPr id="9" name="Chart 2"/>
        <xdr:cNvGraphicFramePr/>
      </xdr:nvGraphicFramePr>
      <xdr:xfrm>
        <a:off x="4331335" y="5737860"/>
        <a:ext cx="5843270" cy="4378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908050</xdr:colOff>
      <xdr:row>46</xdr:row>
      <xdr:rowOff>120015</xdr:rowOff>
    </xdr:from>
    <xdr:to>
      <xdr:col>8</xdr:col>
      <xdr:colOff>86023</xdr:colOff>
      <xdr:row>60</xdr:row>
      <xdr:rowOff>90545</xdr:rowOff>
    </xdr:to>
    <xdr:grpSp>
      <xdr:nvGrpSpPr>
        <xdr:cNvPr id="2" name="グループ化 7"/>
        <xdr:cNvGrpSpPr/>
      </xdr:nvGrpSpPr>
      <xdr:grpSpPr>
        <a:xfrm>
          <a:off x="1509395" y="10270490"/>
          <a:ext cx="7821295" cy="2957195"/>
          <a:chOff x="9233648" y="3608294"/>
          <a:chExt cx="7498152" cy="2805618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9233648" y="3728197"/>
            <a:ext cx="7498152" cy="2685715"/>
          </a:xfrm>
          <a:prstGeom prst="rect">
            <a:avLst/>
          </a:prstGeom>
          <a:pattFill prst="wdUpDiag">
            <a:fgClr>
              <a:schemeClr val="accent1"/>
            </a:fgClr>
            <a:bgClr>
              <a:schemeClr val="bg1"/>
            </a:bgClr>
          </a:pattFill>
        </xdr:spPr>
      </xdr:pic>
      <xdr:cxnSp>
        <xdr:nvCxnSpPr>
          <xdr:cNvPr id="4" name="直線コネクタ 3"/>
          <xdr:cNvCxnSpPr/>
        </xdr:nvCxnSpPr>
        <xdr:spPr>
          <a:xfrm flipV="1">
            <a:off x="9300882" y="3742765"/>
            <a:ext cx="7373471" cy="2655794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線コネクタ 4"/>
          <xdr:cNvCxnSpPr/>
        </xdr:nvCxnSpPr>
        <xdr:spPr>
          <a:xfrm>
            <a:off x="9278471" y="3608294"/>
            <a:ext cx="7429500" cy="2801471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619760</xdr:colOff>
      <xdr:row>0</xdr:row>
      <xdr:rowOff>635</xdr:rowOff>
    </xdr:from>
    <xdr:to>
      <xdr:col>17</xdr:col>
      <xdr:colOff>468033</xdr:colOff>
      <xdr:row>15</xdr:row>
      <xdr:rowOff>63497</xdr:rowOff>
    </xdr:to>
    <xdr:grpSp>
      <xdr:nvGrpSpPr>
        <xdr:cNvPr id="6" name="グループ化 10"/>
        <xdr:cNvGrpSpPr/>
      </xdr:nvGrpSpPr>
      <xdr:grpSpPr>
        <a:xfrm>
          <a:off x="11953240" y="635"/>
          <a:ext cx="5792470" cy="3343910"/>
          <a:chOff x="10567147" y="683559"/>
          <a:chExt cx="5207634" cy="2655794"/>
        </a:xfrm>
      </xdr:grpSpPr>
      <xdr:pic>
        <xdr:nvPicPr>
          <xdr:cNvPr id="7" name="図 8"/>
          <xdr:cNvPicPr>
            <a:picLocks noChangeAspect="1" noChangeArrowheads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0567147" y="683559"/>
            <a:ext cx="5207634" cy="26557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>
        <xdr:nvSpPr>
          <xdr:cNvPr id="8" name="テキスト ボックス 9"/>
          <xdr:cNvSpPr txBox="1"/>
        </xdr:nvSpPr>
        <xdr:spPr>
          <a:xfrm>
            <a:off x="14276294" y="3003176"/>
            <a:ext cx="12531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100"/>
              <a:t>Zhang</a:t>
            </a:r>
            <a:r>
              <a:rPr kumimoji="1" lang="en-US" altLang="ja-JP" sz="1100" baseline="0"/>
              <a:t> et al. (2008)</a:t>
            </a:r>
            <a:endParaRPr kumimoji="1" lang="ja-JP" altLang="en-US" sz="1100"/>
          </a:p>
        </xdr:txBody>
      </xdr:sp>
    </xdr:grpSp>
    <xdr:clientData/>
  </xdr:twoCellAnchor>
  <xdr:twoCellAnchor>
    <xdr:from>
      <xdr:col>7</xdr:col>
      <xdr:colOff>213995</xdr:colOff>
      <xdr:row>2</xdr:row>
      <xdr:rowOff>90170</xdr:rowOff>
    </xdr:from>
    <xdr:to>
      <xdr:col>11</xdr:col>
      <xdr:colOff>817431</xdr:colOff>
      <xdr:row>20</xdr:row>
      <xdr:rowOff>207459</xdr:rowOff>
    </xdr:to>
    <xdr:graphicFrame>
      <xdr:nvGraphicFramePr>
        <xdr:cNvPr id="9" name="Chart 8"/>
        <xdr:cNvGraphicFramePr/>
      </xdr:nvGraphicFramePr>
      <xdr:xfrm>
        <a:off x="7734935" y="516890"/>
        <a:ext cx="5901055" cy="4210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417978</xdr:colOff>
      <xdr:row>49</xdr:row>
      <xdr:rowOff>168087</xdr:rowOff>
    </xdr:from>
    <xdr:to>
      <xdr:col>22</xdr:col>
      <xdr:colOff>303976</xdr:colOff>
      <xdr:row>63</xdr:row>
      <xdr:rowOff>138617</xdr:rowOff>
    </xdr:to>
    <xdr:grpSp>
      <xdr:nvGrpSpPr>
        <xdr:cNvPr id="2" name="グループ化 7"/>
        <xdr:cNvGrpSpPr/>
      </xdr:nvGrpSpPr>
      <xdr:grpSpPr>
        <a:xfrm>
          <a:off x="12371070" y="10958195"/>
          <a:ext cx="8216900" cy="2957830"/>
          <a:chOff x="9233648" y="3608294"/>
          <a:chExt cx="7498152" cy="2805618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9233648" y="3728197"/>
            <a:ext cx="7498152" cy="2685715"/>
          </a:xfrm>
          <a:prstGeom prst="rect">
            <a:avLst/>
          </a:prstGeom>
          <a:pattFill prst="wdUpDiag">
            <a:fgClr>
              <a:schemeClr val="accent1"/>
            </a:fgClr>
            <a:bgClr>
              <a:schemeClr val="bg1"/>
            </a:bgClr>
          </a:pattFill>
        </xdr:spPr>
      </xdr:pic>
      <xdr:cxnSp>
        <xdr:nvCxnSpPr>
          <xdr:cNvPr id="4" name="直線コネクタ 3"/>
          <xdr:cNvCxnSpPr/>
        </xdr:nvCxnSpPr>
        <xdr:spPr>
          <a:xfrm flipV="1">
            <a:off x="9300882" y="3742765"/>
            <a:ext cx="7373471" cy="2655794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線コネクタ 4"/>
          <xdr:cNvCxnSpPr/>
        </xdr:nvCxnSpPr>
        <xdr:spPr>
          <a:xfrm>
            <a:off x="9278471" y="3608294"/>
            <a:ext cx="7429500" cy="2801471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235323</xdr:colOff>
      <xdr:row>21</xdr:row>
      <xdr:rowOff>212914</xdr:rowOff>
    </xdr:from>
    <xdr:to>
      <xdr:col>24</xdr:col>
      <xdr:colOff>201706</xdr:colOff>
      <xdr:row>37</xdr:row>
      <xdr:rowOff>22411</xdr:rowOff>
    </xdr:to>
    <xdr:grpSp>
      <xdr:nvGrpSpPr>
        <xdr:cNvPr id="6" name="グループ化 10"/>
        <xdr:cNvGrpSpPr/>
      </xdr:nvGrpSpPr>
      <xdr:grpSpPr>
        <a:xfrm>
          <a:off x="16309975" y="4971415"/>
          <a:ext cx="5378450" cy="3281045"/>
          <a:chOff x="10567147" y="683559"/>
          <a:chExt cx="5207634" cy="2655794"/>
        </a:xfrm>
      </xdr:grpSpPr>
      <xdr:pic>
        <xdr:nvPicPr>
          <xdr:cNvPr id="7" name="図 8"/>
          <xdr:cNvPicPr>
            <a:picLocks noChangeAspect="1" noChangeArrowheads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0567147" y="683559"/>
            <a:ext cx="5207634" cy="26557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>
        <xdr:nvSpPr>
          <xdr:cNvPr id="8" name="テキスト ボックス 9"/>
          <xdr:cNvSpPr txBox="1"/>
        </xdr:nvSpPr>
        <xdr:spPr>
          <a:xfrm>
            <a:off x="14276294" y="3003176"/>
            <a:ext cx="12531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100"/>
              <a:t>Zhang</a:t>
            </a:r>
            <a:r>
              <a:rPr kumimoji="1" lang="en-US" altLang="ja-JP" sz="1100" baseline="0"/>
              <a:t> et al. (2008)</a:t>
            </a:r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234315</xdr:colOff>
      <xdr:row>1</xdr:row>
      <xdr:rowOff>60960</xdr:rowOff>
    </xdr:from>
    <xdr:to>
      <xdr:col>10</xdr:col>
      <xdr:colOff>53975</xdr:colOff>
      <xdr:row>22</xdr:row>
      <xdr:rowOff>133985</xdr:rowOff>
    </xdr:to>
    <xdr:graphicFrame>
      <xdr:nvGraphicFramePr>
        <xdr:cNvPr id="9" name="Chart 8"/>
        <xdr:cNvGraphicFramePr/>
      </xdr:nvGraphicFramePr>
      <xdr:xfrm>
        <a:off x="6133465" y="274320"/>
        <a:ext cx="5873750" cy="48374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417978</xdr:colOff>
      <xdr:row>49</xdr:row>
      <xdr:rowOff>168087</xdr:rowOff>
    </xdr:from>
    <xdr:to>
      <xdr:col>22</xdr:col>
      <xdr:colOff>303976</xdr:colOff>
      <xdr:row>63</xdr:row>
      <xdr:rowOff>138617</xdr:rowOff>
    </xdr:to>
    <xdr:grpSp>
      <xdr:nvGrpSpPr>
        <xdr:cNvPr id="2" name="グループ化 7"/>
        <xdr:cNvGrpSpPr/>
      </xdr:nvGrpSpPr>
      <xdr:grpSpPr>
        <a:xfrm>
          <a:off x="12371070" y="10958195"/>
          <a:ext cx="8216900" cy="2957830"/>
          <a:chOff x="9233648" y="3608294"/>
          <a:chExt cx="7498152" cy="2805618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9233648" y="3728197"/>
            <a:ext cx="7498152" cy="2685715"/>
          </a:xfrm>
          <a:prstGeom prst="rect">
            <a:avLst/>
          </a:prstGeom>
          <a:pattFill prst="wdUpDiag">
            <a:fgClr>
              <a:schemeClr val="accent1"/>
            </a:fgClr>
            <a:bgClr>
              <a:schemeClr val="bg1"/>
            </a:bgClr>
          </a:pattFill>
        </xdr:spPr>
      </xdr:pic>
      <xdr:cxnSp>
        <xdr:nvCxnSpPr>
          <xdr:cNvPr id="4" name="直線コネクタ 3"/>
          <xdr:cNvCxnSpPr/>
        </xdr:nvCxnSpPr>
        <xdr:spPr>
          <a:xfrm flipV="1">
            <a:off x="9300882" y="3742765"/>
            <a:ext cx="7373471" cy="2655794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線コネクタ 4"/>
          <xdr:cNvCxnSpPr/>
        </xdr:nvCxnSpPr>
        <xdr:spPr>
          <a:xfrm>
            <a:off x="9278471" y="3608294"/>
            <a:ext cx="7429500" cy="2801471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235323</xdr:colOff>
      <xdr:row>21</xdr:row>
      <xdr:rowOff>212914</xdr:rowOff>
    </xdr:from>
    <xdr:to>
      <xdr:col>24</xdr:col>
      <xdr:colOff>201706</xdr:colOff>
      <xdr:row>37</xdr:row>
      <xdr:rowOff>22411</xdr:rowOff>
    </xdr:to>
    <xdr:grpSp>
      <xdr:nvGrpSpPr>
        <xdr:cNvPr id="6" name="グループ化 10"/>
        <xdr:cNvGrpSpPr/>
      </xdr:nvGrpSpPr>
      <xdr:grpSpPr>
        <a:xfrm>
          <a:off x="16309975" y="4971415"/>
          <a:ext cx="5378450" cy="3281045"/>
          <a:chOff x="10567147" y="683559"/>
          <a:chExt cx="5207634" cy="2655794"/>
        </a:xfrm>
      </xdr:grpSpPr>
      <xdr:pic>
        <xdr:nvPicPr>
          <xdr:cNvPr id="7" name="図 8"/>
          <xdr:cNvPicPr>
            <a:picLocks noChangeAspect="1" noChangeArrowheads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0567147" y="683559"/>
            <a:ext cx="5207634" cy="26557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>
        <xdr:nvSpPr>
          <xdr:cNvPr id="8" name="テキスト ボックス 9"/>
          <xdr:cNvSpPr txBox="1"/>
        </xdr:nvSpPr>
        <xdr:spPr>
          <a:xfrm>
            <a:off x="14276294" y="3003176"/>
            <a:ext cx="12531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100"/>
              <a:t>Zhang</a:t>
            </a:r>
            <a:r>
              <a:rPr kumimoji="1" lang="en-US" altLang="ja-JP" sz="1100" baseline="0"/>
              <a:t> et al. (2008)</a:t>
            </a:r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793115</xdr:colOff>
      <xdr:row>2</xdr:row>
      <xdr:rowOff>162560</xdr:rowOff>
    </xdr:from>
    <xdr:to>
      <xdr:col>8</xdr:col>
      <xdr:colOff>1856291</xdr:colOff>
      <xdr:row>21</xdr:row>
      <xdr:rowOff>41089</xdr:rowOff>
    </xdr:to>
    <xdr:graphicFrame>
      <xdr:nvGraphicFramePr>
        <xdr:cNvPr id="9" name="Chart 8"/>
        <xdr:cNvGraphicFramePr/>
      </xdr:nvGraphicFramePr>
      <xdr:xfrm>
        <a:off x="5187950" y="589280"/>
        <a:ext cx="5913120" cy="4210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417978</xdr:colOff>
      <xdr:row>49</xdr:row>
      <xdr:rowOff>168087</xdr:rowOff>
    </xdr:from>
    <xdr:to>
      <xdr:col>22</xdr:col>
      <xdr:colOff>303976</xdr:colOff>
      <xdr:row>63</xdr:row>
      <xdr:rowOff>138617</xdr:rowOff>
    </xdr:to>
    <xdr:grpSp>
      <xdr:nvGrpSpPr>
        <xdr:cNvPr id="2" name="グループ化 7"/>
        <xdr:cNvGrpSpPr/>
      </xdr:nvGrpSpPr>
      <xdr:grpSpPr>
        <a:xfrm>
          <a:off x="12371070" y="10958195"/>
          <a:ext cx="8216900" cy="2957830"/>
          <a:chOff x="9233648" y="3608294"/>
          <a:chExt cx="7498152" cy="2805618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9233648" y="3728197"/>
            <a:ext cx="7498152" cy="2685715"/>
          </a:xfrm>
          <a:prstGeom prst="rect">
            <a:avLst/>
          </a:prstGeom>
          <a:pattFill prst="wdUpDiag">
            <a:fgClr>
              <a:schemeClr val="accent1"/>
            </a:fgClr>
            <a:bgClr>
              <a:schemeClr val="bg1"/>
            </a:bgClr>
          </a:pattFill>
        </xdr:spPr>
      </xdr:pic>
      <xdr:cxnSp>
        <xdr:nvCxnSpPr>
          <xdr:cNvPr id="4" name="直線コネクタ 3"/>
          <xdr:cNvCxnSpPr/>
        </xdr:nvCxnSpPr>
        <xdr:spPr>
          <a:xfrm flipV="1">
            <a:off x="9300882" y="3742765"/>
            <a:ext cx="7373471" cy="2655794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線コネクタ 4"/>
          <xdr:cNvCxnSpPr/>
        </xdr:nvCxnSpPr>
        <xdr:spPr>
          <a:xfrm>
            <a:off x="9278471" y="3608294"/>
            <a:ext cx="7429500" cy="2801471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235323</xdr:colOff>
      <xdr:row>21</xdr:row>
      <xdr:rowOff>212914</xdr:rowOff>
    </xdr:from>
    <xdr:to>
      <xdr:col>24</xdr:col>
      <xdr:colOff>201706</xdr:colOff>
      <xdr:row>37</xdr:row>
      <xdr:rowOff>22411</xdr:rowOff>
    </xdr:to>
    <xdr:grpSp>
      <xdr:nvGrpSpPr>
        <xdr:cNvPr id="6" name="グループ化 10"/>
        <xdr:cNvGrpSpPr/>
      </xdr:nvGrpSpPr>
      <xdr:grpSpPr>
        <a:xfrm>
          <a:off x="16309975" y="4971415"/>
          <a:ext cx="5378450" cy="3281045"/>
          <a:chOff x="10567147" y="683559"/>
          <a:chExt cx="5207634" cy="2655794"/>
        </a:xfrm>
      </xdr:grpSpPr>
      <xdr:pic>
        <xdr:nvPicPr>
          <xdr:cNvPr id="7" name="図 8"/>
          <xdr:cNvPicPr>
            <a:picLocks noChangeAspect="1" noChangeArrowheads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0567147" y="683559"/>
            <a:ext cx="5207634" cy="26557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>
        <xdr:nvSpPr>
          <xdr:cNvPr id="8" name="テキスト ボックス 9"/>
          <xdr:cNvSpPr txBox="1"/>
        </xdr:nvSpPr>
        <xdr:spPr>
          <a:xfrm>
            <a:off x="14276294" y="3003176"/>
            <a:ext cx="12531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100"/>
              <a:t>Zhang</a:t>
            </a:r>
            <a:r>
              <a:rPr kumimoji="1" lang="en-US" altLang="ja-JP" sz="1100" baseline="0"/>
              <a:t> et al. (2008)</a:t>
            </a:r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1348740</xdr:colOff>
      <xdr:row>3</xdr:row>
      <xdr:rowOff>182245</xdr:rowOff>
    </xdr:from>
    <xdr:to>
      <xdr:col>9</xdr:col>
      <xdr:colOff>237041</xdr:colOff>
      <xdr:row>22</xdr:row>
      <xdr:rowOff>24579</xdr:rowOff>
    </xdr:to>
    <xdr:graphicFrame>
      <xdr:nvGraphicFramePr>
        <xdr:cNvPr id="9" name="Chart 8"/>
        <xdr:cNvGraphicFramePr/>
      </xdr:nvGraphicFramePr>
      <xdr:xfrm>
        <a:off x="5743575" y="822325"/>
        <a:ext cx="5836920" cy="4179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417978</xdr:colOff>
      <xdr:row>49</xdr:row>
      <xdr:rowOff>168087</xdr:rowOff>
    </xdr:from>
    <xdr:to>
      <xdr:col>22</xdr:col>
      <xdr:colOff>303976</xdr:colOff>
      <xdr:row>63</xdr:row>
      <xdr:rowOff>138617</xdr:rowOff>
    </xdr:to>
    <xdr:grpSp>
      <xdr:nvGrpSpPr>
        <xdr:cNvPr id="2" name="グループ化 7"/>
        <xdr:cNvGrpSpPr/>
      </xdr:nvGrpSpPr>
      <xdr:grpSpPr>
        <a:xfrm>
          <a:off x="12371070" y="10958195"/>
          <a:ext cx="8216900" cy="2957830"/>
          <a:chOff x="9233648" y="3608294"/>
          <a:chExt cx="7498152" cy="2805618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9233648" y="3728197"/>
            <a:ext cx="7498152" cy="2685715"/>
          </a:xfrm>
          <a:prstGeom prst="rect">
            <a:avLst/>
          </a:prstGeom>
          <a:pattFill prst="wdUpDiag">
            <a:fgClr>
              <a:schemeClr val="accent1"/>
            </a:fgClr>
            <a:bgClr>
              <a:schemeClr val="bg1"/>
            </a:bgClr>
          </a:pattFill>
        </xdr:spPr>
      </xdr:pic>
      <xdr:cxnSp>
        <xdr:nvCxnSpPr>
          <xdr:cNvPr id="4" name="直線コネクタ 3"/>
          <xdr:cNvCxnSpPr/>
        </xdr:nvCxnSpPr>
        <xdr:spPr>
          <a:xfrm flipV="1">
            <a:off x="9300882" y="3742765"/>
            <a:ext cx="7373471" cy="2655794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線コネクタ 4"/>
          <xdr:cNvCxnSpPr/>
        </xdr:nvCxnSpPr>
        <xdr:spPr>
          <a:xfrm>
            <a:off x="9278471" y="3608294"/>
            <a:ext cx="7429500" cy="2801471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235323</xdr:colOff>
      <xdr:row>21</xdr:row>
      <xdr:rowOff>212914</xdr:rowOff>
    </xdr:from>
    <xdr:to>
      <xdr:col>24</xdr:col>
      <xdr:colOff>201706</xdr:colOff>
      <xdr:row>37</xdr:row>
      <xdr:rowOff>22411</xdr:rowOff>
    </xdr:to>
    <xdr:grpSp>
      <xdr:nvGrpSpPr>
        <xdr:cNvPr id="6" name="グループ化 10"/>
        <xdr:cNvGrpSpPr/>
      </xdr:nvGrpSpPr>
      <xdr:grpSpPr>
        <a:xfrm>
          <a:off x="16309975" y="4971415"/>
          <a:ext cx="5378450" cy="3281045"/>
          <a:chOff x="10567147" y="683559"/>
          <a:chExt cx="5207634" cy="2655794"/>
        </a:xfrm>
      </xdr:grpSpPr>
      <xdr:pic>
        <xdr:nvPicPr>
          <xdr:cNvPr id="7" name="図 8"/>
          <xdr:cNvPicPr>
            <a:picLocks noChangeAspect="1" noChangeArrowheads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0567147" y="683559"/>
            <a:ext cx="5207634" cy="26557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>
        <xdr:nvSpPr>
          <xdr:cNvPr id="8" name="テキスト ボックス 9"/>
          <xdr:cNvSpPr txBox="1"/>
        </xdr:nvSpPr>
        <xdr:spPr>
          <a:xfrm>
            <a:off x="14276294" y="3003176"/>
            <a:ext cx="12531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100"/>
              <a:t>Zhang</a:t>
            </a:r>
            <a:r>
              <a:rPr kumimoji="1" lang="en-US" altLang="ja-JP" sz="1100" baseline="0"/>
              <a:t> et al. (2008)</a:t>
            </a:r>
            <a:endParaRPr kumimoji="1" lang="ja-JP" altLang="en-US" sz="1100"/>
          </a:p>
        </xdr:txBody>
      </xdr:sp>
    </xdr:grpSp>
    <xdr:clientData/>
  </xdr:twoCellAnchor>
  <xdr:twoCellAnchor>
    <xdr:from>
      <xdr:col>7</xdr:col>
      <xdr:colOff>298450</xdr:colOff>
      <xdr:row>3</xdr:row>
      <xdr:rowOff>129540</xdr:rowOff>
    </xdr:from>
    <xdr:to>
      <xdr:col>11</xdr:col>
      <xdr:colOff>901886</xdr:colOff>
      <xdr:row>21</xdr:row>
      <xdr:rowOff>190949</xdr:rowOff>
    </xdr:to>
    <xdr:graphicFrame>
      <xdr:nvGraphicFramePr>
        <xdr:cNvPr id="9" name="Chart 8"/>
        <xdr:cNvGraphicFramePr/>
      </xdr:nvGraphicFramePr>
      <xdr:xfrm>
        <a:off x="7819390" y="769620"/>
        <a:ext cx="5901055" cy="4179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417978</xdr:colOff>
      <xdr:row>49</xdr:row>
      <xdr:rowOff>168087</xdr:rowOff>
    </xdr:from>
    <xdr:to>
      <xdr:col>22</xdr:col>
      <xdr:colOff>303976</xdr:colOff>
      <xdr:row>63</xdr:row>
      <xdr:rowOff>138617</xdr:rowOff>
    </xdr:to>
    <xdr:grpSp>
      <xdr:nvGrpSpPr>
        <xdr:cNvPr id="2" name="グループ化 7"/>
        <xdr:cNvGrpSpPr/>
      </xdr:nvGrpSpPr>
      <xdr:grpSpPr>
        <a:xfrm>
          <a:off x="12371070" y="10958195"/>
          <a:ext cx="8216900" cy="2957830"/>
          <a:chOff x="9233648" y="3608294"/>
          <a:chExt cx="7498152" cy="2805618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9233648" y="3728197"/>
            <a:ext cx="7498152" cy="2685715"/>
          </a:xfrm>
          <a:prstGeom prst="rect">
            <a:avLst/>
          </a:prstGeom>
          <a:pattFill prst="wdUpDiag">
            <a:fgClr>
              <a:schemeClr val="accent1"/>
            </a:fgClr>
            <a:bgClr>
              <a:schemeClr val="bg1"/>
            </a:bgClr>
          </a:pattFill>
        </xdr:spPr>
      </xdr:pic>
      <xdr:cxnSp>
        <xdr:nvCxnSpPr>
          <xdr:cNvPr id="4" name="直線コネクタ 3"/>
          <xdr:cNvCxnSpPr/>
        </xdr:nvCxnSpPr>
        <xdr:spPr>
          <a:xfrm flipV="1">
            <a:off x="9300882" y="3742765"/>
            <a:ext cx="7373471" cy="2655794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線コネクタ 4"/>
          <xdr:cNvCxnSpPr/>
        </xdr:nvCxnSpPr>
        <xdr:spPr>
          <a:xfrm>
            <a:off x="9278471" y="3608294"/>
            <a:ext cx="7429500" cy="2801471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235323</xdr:colOff>
      <xdr:row>21</xdr:row>
      <xdr:rowOff>212914</xdr:rowOff>
    </xdr:from>
    <xdr:to>
      <xdr:col>24</xdr:col>
      <xdr:colOff>201706</xdr:colOff>
      <xdr:row>37</xdr:row>
      <xdr:rowOff>22411</xdr:rowOff>
    </xdr:to>
    <xdr:grpSp>
      <xdr:nvGrpSpPr>
        <xdr:cNvPr id="6" name="グループ化 10"/>
        <xdr:cNvGrpSpPr/>
      </xdr:nvGrpSpPr>
      <xdr:grpSpPr>
        <a:xfrm>
          <a:off x="16309975" y="4971415"/>
          <a:ext cx="5378450" cy="3281045"/>
          <a:chOff x="10567147" y="683559"/>
          <a:chExt cx="5207634" cy="2655794"/>
        </a:xfrm>
      </xdr:grpSpPr>
      <xdr:pic>
        <xdr:nvPicPr>
          <xdr:cNvPr id="7" name="図 8"/>
          <xdr:cNvPicPr>
            <a:picLocks noChangeAspect="1" noChangeArrowheads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0567147" y="683559"/>
            <a:ext cx="5207634" cy="26557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>
        <xdr:nvSpPr>
          <xdr:cNvPr id="8" name="テキスト ボックス 9"/>
          <xdr:cNvSpPr txBox="1"/>
        </xdr:nvSpPr>
        <xdr:spPr>
          <a:xfrm>
            <a:off x="14276294" y="3003176"/>
            <a:ext cx="12531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100"/>
              <a:t>Zhang</a:t>
            </a:r>
            <a:r>
              <a:rPr kumimoji="1" lang="en-US" altLang="ja-JP" sz="1100" baseline="0"/>
              <a:t> et al. (2008)</a:t>
            </a:r>
            <a:endParaRPr kumimoji="1" lang="ja-JP" altLang="en-US" sz="1100"/>
          </a:p>
        </xdr:txBody>
      </xdr:sp>
    </xdr:grpSp>
    <xdr:clientData/>
  </xdr:twoCellAnchor>
  <xdr:twoCellAnchor>
    <xdr:from>
      <xdr:col>7</xdr:col>
      <xdr:colOff>281940</xdr:colOff>
      <xdr:row>4</xdr:row>
      <xdr:rowOff>130175</xdr:rowOff>
    </xdr:from>
    <xdr:to>
      <xdr:col>11</xdr:col>
      <xdr:colOff>885376</xdr:colOff>
      <xdr:row>22</xdr:row>
      <xdr:rowOff>155389</xdr:rowOff>
    </xdr:to>
    <xdr:graphicFrame>
      <xdr:nvGraphicFramePr>
        <xdr:cNvPr id="9" name="Chart 8"/>
        <xdr:cNvGraphicFramePr/>
      </xdr:nvGraphicFramePr>
      <xdr:xfrm>
        <a:off x="7802880" y="983615"/>
        <a:ext cx="5901055" cy="4149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417978</xdr:colOff>
      <xdr:row>49</xdr:row>
      <xdr:rowOff>168087</xdr:rowOff>
    </xdr:from>
    <xdr:to>
      <xdr:col>22</xdr:col>
      <xdr:colOff>303976</xdr:colOff>
      <xdr:row>63</xdr:row>
      <xdr:rowOff>138617</xdr:rowOff>
    </xdr:to>
    <xdr:grpSp>
      <xdr:nvGrpSpPr>
        <xdr:cNvPr id="2" name="グループ化 7"/>
        <xdr:cNvGrpSpPr/>
      </xdr:nvGrpSpPr>
      <xdr:grpSpPr>
        <a:xfrm>
          <a:off x="12371070" y="10958195"/>
          <a:ext cx="8216900" cy="2957830"/>
          <a:chOff x="9233648" y="3608294"/>
          <a:chExt cx="7498152" cy="2805618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9233648" y="3728197"/>
            <a:ext cx="7498152" cy="2685715"/>
          </a:xfrm>
          <a:prstGeom prst="rect">
            <a:avLst/>
          </a:prstGeom>
          <a:pattFill prst="wdUpDiag">
            <a:fgClr>
              <a:schemeClr val="accent1"/>
            </a:fgClr>
            <a:bgClr>
              <a:schemeClr val="bg1"/>
            </a:bgClr>
          </a:pattFill>
        </xdr:spPr>
      </xdr:pic>
      <xdr:cxnSp>
        <xdr:nvCxnSpPr>
          <xdr:cNvPr id="4" name="直線コネクタ 3"/>
          <xdr:cNvCxnSpPr/>
        </xdr:nvCxnSpPr>
        <xdr:spPr>
          <a:xfrm flipV="1">
            <a:off x="9300882" y="3742765"/>
            <a:ext cx="7373471" cy="2655794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線コネクタ 4"/>
          <xdr:cNvCxnSpPr/>
        </xdr:nvCxnSpPr>
        <xdr:spPr>
          <a:xfrm>
            <a:off x="9278471" y="3608294"/>
            <a:ext cx="7429500" cy="2801471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235323</xdr:colOff>
      <xdr:row>21</xdr:row>
      <xdr:rowOff>212914</xdr:rowOff>
    </xdr:from>
    <xdr:to>
      <xdr:col>24</xdr:col>
      <xdr:colOff>201706</xdr:colOff>
      <xdr:row>37</xdr:row>
      <xdr:rowOff>22411</xdr:rowOff>
    </xdr:to>
    <xdr:grpSp>
      <xdr:nvGrpSpPr>
        <xdr:cNvPr id="6" name="グループ化 10"/>
        <xdr:cNvGrpSpPr/>
      </xdr:nvGrpSpPr>
      <xdr:grpSpPr>
        <a:xfrm>
          <a:off x="16309975" y="4971415"/>
          <a:ext cx="5378450" cy="3281045"/>
          <a:chOff x="10567147" y="683559"/>
          <a:chExt cx="5207634" cy="2655794"/>
        </a:xfrm>
      </xdr:grpSpPr>
      <xdr:pic>
        <xdr:nvPicPr>
          <xdr:cNvPr id="7" name="図 8"/>
          <xdr:cNvPicPr>
            <a:picLocks noChangeAspect="1" noChangeArrowheads="1"/>
          </xdr:cNvPicPr>
        </xdr:nvPicPr>
        <xdr:blipFill>
          <a:blip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10567147" y="683559"/>
            <a:ext cx="5207634" cy="26557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>
        <xdr:nvSpPr>
          <xdr:cNvPr id="8" name="テキスト ボックス 9"/>
          <xdr:cNvSpPr txBox="1"/>
        </xdr:nvSpPr>
        <xdr:spPr>
          <a:xfrm>
            <a:off x="14276294" y="3003176"/>
            <a:ext cx="125310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zh-CN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1100"/>
              <a:t>Zhang</a:t>
            </a:r>
            <a:r>
              <a:rPr kumimoji="1" lang="en-US" altLang="ja-JP" sz="1100" baseline="0"/>
              <a:t> et al. (2008)</a:t>
            </a:r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554355</xdr:colOff>
      <xdr:row>2</xdr:row>
      <xdr:rowOff>45720</xdr:rowOff>
    </xdr:from>
    <xdr:to>
      <xdr:col>11</xdr:col>
      <xdr:colOff>385631</xdr:colOff>
      <xdr:row>20</xdr:row>
      <xdr:rowOff>163009</xdr:rowOff>
    </xdr:to>
    <xdr:graphicFrame>
      <xdr:nvGraphicFramePr>
        <xdr:cNvPr id="9" name="Chart 8"/>
        <xdr:cNvGraphicFramePr/>
      </xdr:nvGraphicFramePr>
      <xdr:xfrm>
        <a:off x="7282815" y="472440"/>
        <a:ext cx="5921375" cy="4210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OneDrive/2025&#28151;&#20957;&#23454;&#39564;&#35770;&#25991;/&#36213;&#22825;&#29790;&#35770;&#25991;&#25968;&#25454;/&#26368;&#21518;&#32467;&#26524;/CeO2_DLV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stimation for W"/>
      <sheetName val="Summary"/>
      <sheetName val="Hamaker constant"/>
      <sheetName val="ionic strength calculation"/>
      <sheetName val="Zeta potential"/>
      <sheetName val="Fe 0.1 mM initial Ti0.1mgL Lake"/>
      <sheetName val="Fe 0.1 mM initial Ti0.1mgL"/>
      <sheetName val="pH 13 12 h"/>
      <sheetName val="pH 13 0.5 h"/>
      <sheetName val="pH 12 12 h"/>
      <sheetName val="pH 12 0.5 h"/>
      <sheetName val="pH 10 12 h"/>
      <sheetName val="pH 10 0.5 h"/>
      <sheetName val="pH 9 12 h"/>
      <sheetName val="pH 9 0.5 h"/>
      <sheetName val="pH 7 12 h"/>
      <sheetName val="pH 7 0.5 h"/>
      <sheetName val="pH 5 12 h"/>
      <sheetName val="pH 5 0.5 h"/>
      <sheetName val="pH 3 12 h"/>
      <sheetName val="pH 3 0.5 h"/>
      <sheetName val="pH 2 12 h"/>
      <sheetName val="pH 2 0.5 h"/>
      <sheetName val="pH 1 12 h"/>
      <sheetName val="pH 1 0.5 h"/>
      <sheetName val="Al 0.4 mM initial"/>
      <sheetName val="Al 0.2 mM initial"/>
      <sheetName val="Fe 0.2 mM initial"/>
      <sheetName val="Fe 0.1 mM initial"/>
      <sheetName val="Lake without 7.3 buffer 0.5 h "/>
      <sheetName val="Lake without 7.3 buffer 12 h"/>
      <sheetName val="pH 9 Lake 0.5 h"/>
      <sheetName val="pH 9 Lake 12 h"/>
      <sheetName val="pH 6.5 Lake 0.5 h"/>
      <sheetName val="pH 6.5 Lake 12 h"/>
      <sheetName val="pH 4.5 Lake 12 h"/>
      <sheetName val="pH 4.5 Lake 0.5 H"/>
      <sheetName val="phosphate dissociation "/>
      <sheetName val="Milli-Q  0.5h"/>
      <sheetName val="Milli-Q  12 h"/>
      <sheetName val="NaCl 0.0003 0.5h"/>
      <sheetName val="NaCl 15 mM 0.5h"/>
      <sheetName val="NaCl 0.3 12 h"/>
      <sheetName val="NaCl 3 12 h"/>
      <sheetName val="NaCl 30 12 h"/>
      <sheetName val="NaCl 15 mM 12 h"/>
      <sheetName val="CaCl2 0.1 mM 0.5 h"/>
      <sheetName val="CaCl 0. mM 12 h"/>
      <sheetName val="CaCl 5 mM 0.5h"/>
      <sheetName val="CaCl 5 mM 12h"/>
      <sheetName val="P 0.1mM 0.5h"/>
      <sheetName val="P 0.1mM 12h (2)"/>
      <sheetName val="P 1mM 0.5 h"/>
      <sheetName val="P 1mM12 h"/>
      <sheetName val="P 10mM 0.5 h "/>
      <sheetName val="P 10mM12h "/>
      <sheetName val="P 100mM 0.5 h"/>
      <sheetName val="P 100mM12 h "/>
      <sheetName val="Sheet2"/>
      <sheetName val="Sheet1"/>
      <sheetName val="Sheet3"/>
    </sheetNames>
    <sheetDataSet>
      <sheetData sheetId="0"/>
      <sheetData sheetId="1">
        <row r="7">
          <cell r="A7">
            <v>1</v>
          </cell>
        </row>
        <row r="8">
          <cell r="A8">
            <v>2</v>
          </cell>
        </row>
        <row r="9">
          <cell r="A9">
            <v>3</v>
          </cell>
        </row>
        <row r="10">
          <cell r="A10">
            <v>4</v>
          </cell>
        </row>
        <row r="11">
          <cell r="A11">
            <v>5</v>
          </cell>
        </row>
        <row r="12">
          <cell r="A12">
            <v>6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>
            <v>10</v>
          </cell>
        </row>
        <row r="17">
          <cell r="A17">
            <v>20</v>
          </cell>
        </row>
        <row r="18">
          <cell r="A18">
            <v>30</v>
          </cell>
        </row>
        <row r="19">
          <cell r="A19">
            <v>40</v>
          </cell>
        </row>
        <row r="20">
          <cell r="A20">
            <v>50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44" zoomScaleNormal="44" workbookViewId="0">
      <selection activeCell="AC45" sqref="AC45"/>
    </sheetView>
  </sheetViews>
  <sheetFormatPr defaultColWidth="8.88461538461539" defaultRowHeight="16.8"/>
  <sheetData/>
  <pageMargins left="0.75" right="0.75" top="1" bottom="1" header="0.511805555555556" footer="0.511805555555556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zoomScale="56" zoomScaleNormal="56" workbookViewId="0">
      <selection activeCell="U31" sqref="U31"/>
    </sheetView>
  </sheetViews>
  <sheetFormatPr defaultColWidth="9.10576923076923" defaultRowHeight="16.8"/>
  <cols>
    <col min="1" max="1" width="10.9230769230769" customWidth="1"/>
    <col min="2" max="2" width="36" customWidth="1"/>
    <col min="3" max="3" width="12" customWidth="1"/>
    <col min="4" max="4" width="9.44230769230769" customWidth="1"/>
    <col min="5" max="5" width="22.7788461538462" customWidth="1"/>
    <col min="6" max="6" width="26.2307692307692" customWidth="1"/>
    <col min="7" max="7" width="12" customWidth="1"/>
    <col min="8" max="8" width="26.1057692307692" customWidth="1"/>
    <col min="9" max="9" width="31.7788461538462" customWidth="1"/>
    <col min="10" max="10" width="9.23076923076923"/>
    <col min="11" max="11" width="13.1057692307692" customWidth="1"/>
    <col min="12" max="12" width="16" customWidth="1"/>
    <col min="13" max="13" width="10"/>
    <col min="14" max="14" width="14.0769230769231"/>
    <col min="15" max="15" width="9.23076923076923"/>
  </cols>
  <sheetData>
    <row r="1" spans="1:6">
      <c r="A1" s="69"/>
      <c r="B1" s="69"/>
      <c r="C1" s="69"/>
      <c r="D1" s="69"/>
      <c r="E1" s="70"/>
    </row>
    <row r="2" spans="1:6">
      <c r="A2" s="69"/>
      <c r="B2" s="69"/>
      <c r="C2" s="69"/>
      <c r="D2" s="69"/>
      <c r="E2" s="70"/>
    </row>
    <row r="3" spans="1:6">
      <c r="A3" s="71" t="s">
        <v>0</v>
      </c>
      <c r="B3" s="72" t="s">
        <v>1</v>
      </c>
      <c r="C3" s="72" t="s">
        <v>2</v>
      </c>
      <c r="D3" s="72" t="s">
        <v>3</v>
      </c>
      <c r="E3" s="73" t="s">
        <v>4</v>
      </c>
    </row>
    <row r="4" spans="1:6">
      <c r="A4" s="74" t="s">
        <v>5</v>
      </c>
      <c r="B4" s="75" t="s">
        <v>6</v>
      </c>
      <c r="C4" s="76">
        <v>5.57e-20</v>
      </c>
      <c r="D4" s="75" t="s">
        <v>7</v>
      </c>
      <c r="E4" s="77" t="s">
        <v>8</v>
      </c>
      <c r="F4" s="8"/>
    </row>
    <row r="5" spans="1:6">
      <c r="A5" s="78" t="s">
        <v>9</v>
      </c>
      <c r="B5" s="79" t="s">
        <v>10</v>
      </c>
      <c r="C5" s="80">
        <v>1e-6</v>
      </c>
      <c r="D5" s="79"/>
      <c r="E5" s="81" t="s">
        <v>11</v>
      </c>
      <c r="F5" s="8"/>
    </row>
    <row r="6" spans="1:6">
      <c r="A6" s="74" t="s">
        <v>12</v>
      </c>
      <c r="B6" s="75" t="s">
        <v>13</v>
      </c>
      <c r="C6" s="76">
        <v>1e-6</v>
      </c>
      <c r="D6" s="75"/>
      <c r="E6" s="77" t="s">
        <v>14</v>
      </c>
      <c r="F6" s="8"/>
    </row>
    <row r="7" ht="20" spans="1:6">
      <c r="A7" s="82" t="s">
        <v>15</v>
      </c>
      <c r="B7" s="79" t="s">
        <v>16</v>
      </c>
      <c r="C7" s="80">
        <v>1.381e-23</v>
      </c>
      <c r="D7" s="79" t="s">
        <v>17</v>
      </c>
      <c r="E7" s="81" t="s">
        <v>18</v>
      </c>
    </row>
    <row r="8" ht="20" spans="1:6">
      <c r="A8" s="83" t="s">
        <v>19</v>
      </c>
      <c r="B8" s="75"/>
      <c r="C8" s="76">
        <f>C7*C14</f>
        <v>4.11538e-21</v>
      </c>
      <c r="D8" s="75"/>
      <c r="E8" s="77"/>
    </row>
    <row r="9" spans="1:6">
      <c r="A9" s="78" t="s">
        <v>20</v>
      </c>
      <c r="B9" s="79" t="s">
        <v>21</v>
      </c>
      <c r="C9" s="80">
        <f>C11*C12*1000</f>
        <v>6.02e+20</v>
      </c>
      <c r="D9" s="79" t="s">
        <v>22</v>
      </c>
      <c r="E9" s="81" t="s">
        <v>23</v>
      </c>
    </row>
    <row r="10" spans="1:6">
      <c r="A10" s="74"/>
      <c r="B10" s="75" t="s">
        <v>24</v>
      </c>
      <c r="C10" s="75"/>
      <c r="D10" s="75"/>
      <c r="E10" s="77" t="s">
        <v>25</v>
      </c>
    </row>
    <row r="11" spans="1:6">
      <c r="A11" s="78"/>
      <c r="B11" s="79" t="s">
        <v>26</v>
      </c>
      <c r="C11" s="80">
        <v>6.02e+23</v>
      </c>
      <c r="D11" s="79"/>
      <c r="E11" s="81" t="s">
        <v>27</v>
      </c>
    </row>
    <row r="12" spans="1:6">
      <c r="A12" s="74"/>
      <c r="B12" s="75" t="s">
        <v>28</v>
      </c>
      <c r="C12" s="76">
        <f>C5</f>
        <v>1e-6</v>
      </c>
      <c r="D12" s="75"/>
      <c r="E12" s="77" t="s">
        <v>29</v>
      </c>
    </row>
    <row r="13" spans="1:6">
      <c r="A13" s="78" t="s">
        <v>30</v>
      </c>
      <c r="B13" s="79" t="s">
        <v>31</v>
      </c>
      <c r="C13" s="80">
        <f>63.5/1000000000</f>
        <v>6.35e-8</v>
      </c>
      <c r="D13" s="79" t="s">
        <v>32</v>
      </c>
      <c r="E13" s="81" t="s">
        <v>33</v>
      </c>
    </row>
    <row r="14" spans="1:6">
      <c r="A14" s="74" t="s">
        <v>34</v>
      </c>
      <c r="B14" s="75" t="s">
        <v>35</v>
      </c>
      <c r="C14" s="84">
        <v>298</v>
      </c>
      <c r="D14" s="75" t="s">
        <v>36</v>
      </c>
      <c r="E14" s="77" t="s">
        <v>37</v>
      </c>
    </row>
    <row r="15" spans="1:6">
      <c r="A15" s="78" t="s">
        <v>38</v>
      </c>
      <c r="B15" s="79"/>
      <c r="C15" s="85">
        <v>1</v>
      </c>
      <c r="D15" s="79"/>
      <c r="E15" s="81"/>
    </row>
    <row r="16" ht="18.75" customHeight="1" spans="1:6">
      <c r="A16" s="74" t="s">
        <v>39</v>
      </c>
      <c r="B16" s="86" t="s">
        <v>40</v>
      </c>
      <c r="C16" s="87">
        <f>C17*C18</f>
        <v>7.0832e-10</v>
      </c>
      <c r="D16" s="86" t="s">
        <v>41</v>
      </c>
      <c r="E16" s="77" t="s">
        <v>42</v>
      </c>
      <c r="F16" s="21"/>
    </row>
    <row r="17" ht="21.75" customHeight="1" spans="1:16">
      <c r="A17" s="78"/>
      <c r="B17" s="88" t="s">
        <v>43</v>
      </c>
      <c r="C17" s="89">
        <v>8.854e-12</v>
      </c>
      <c r="D17" s="88"/>
      <c r="E17" s="81" t="s">
        <v>44</v>
      </c>
      <c r="F17" s="21"/>
    </row>
    <row r="18" ht="23.25" customHeight="1" spans="1:16">
      <c r="A18" s="74"/>
      <c r="B18" s="86" t="s">
        <v>45</v>
      </c>
      <c r="C18" s="86">
        <v>80</v>
      </c>
      <c r="D18" s="86"/>
      <c r="E18" s="77" t="s">
        <v>42</v>
      </c>
      <c r="F18" s="21"/>
    </row>
    <row r="19" ht="17" spans="1:16">
      <c r="A19" s="78" t="s">
        <v>46</v>
      </c>
      <c r="B19" s="79" t="s">
        <v>47</v>
      </c>
      <c r="C19" s="80">
        <f>1/((4.31*POWER(2*C6,-0.5)/10000000000))</f>
        <v>3281237.96374268</v>
      </c>
      <c r="D19" s="79" t="s">
        <v>48</v>
      </c>
      <c r="E19" s="81" t="s">
        <v>49</v>
      </c>
    </row>
    <row r="20" spans="1:16">
      <c r="A20" s="74" t="s">
        <v>50</v>
      </c>
      <c r="B20" s="75"/>
      <c r="C20" s="84">
        <v>3.1416</v>
      </c>
      <c r="D20" s="75"/>
      <c r="E20" s="77"/>
    </row>
    <row r="21" ht="18.75" customHeight="1" spans="1:16">
      <c r="A21" s="78" t="s">
        <v>51</v>
      </c>
      <c r="B21" s="88" t="s">
        <v>52</v>
      </c>
      <c r="C21" s="89">
        <f>-18.39/1000</f>
        <v>-0.01839</v>
      </c>
      <c r="D21" s="88" t="s">
        <v>53</v>
      </c>
      <c r="E21" s="81" t="s">
        <v>54</v>
      </c>
      <c r="F21" s="28"/>
    </row>
    <row r="22" ht="17.25" customHeight="1" spans="1:16">
      <c r="A22" s="90" t="s">
        <v>55</v>
      </c>
      <c r="B22" s="91"/>
      <c r="C22" s="92">
        <v>1.6e-19</v>
      </c>
      <c r="D22" s="91"/>
      <c r="E22" s="93"/>
      <c r="F22" s="28"/>
    </row>
    <row r="23" ht="17.25" customHeight="1" spans="1:16">
      <c r="A23" s="28"/>
      <c r="B23" s="28"/>
      <c r="C23" s="28"/>
      <c r="D23" s="28"/>
      <c r="E23" s="28"/>
      <c r="F23" s="28"/>
      <c r="G23" s="28"/>
    </row>
    <row r="24" ht="17.25" customHeight="1" spans="1:16">
      <c r="A24" s="28"/>
      <c r="B24" s="28"/>
      <c r="C24" s="28"/>
      <c r="D24" s="28"/>
      <c r="E24" s="28"/>
      <c r="F24" s="28"/>
      <c r="G24" s="28"/>
    </row>
    <row r="25" ht="20" spans="1:16">
      <c r="A25" s="33"/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62</v>
      </c>
      <c r="I25" s="2" t="s">
        <v>63</v>
      </c>
      <c r="J25" s="2" t="s">
        <v>64</v>
      </c>
      <c r="K25" s="2" t="s">
        <v>65</v>
      </c>
      <c r="L25" s="2" t="s">
        <v>66</v>
      </c>
      <c r="M25" s="2" t="s">
        <v>67</v>
      </c>
      <c r="N25" s="2" t="s">
        <v>68</v>
      </c>
      <c r="O25" s="2"/>
      <c r="P25" s="3"/>
    </row>
    <row r="26" spans="1:16">
      <c r="A26" s="15">
        <v>0.0001</v>
      </c>
      <c r="B26" s="34">
        <v>1e-9</v>
      </c>
      <c r="C26" s="34">
        <f t="shared" ref="C26:C48" si="0">D26/$C$8</f>
        <v>-40.8019344291053</v>
      </c>
      <c r="D26" s="34">
        <f t="shared" ref="D26:D48" si="1">I26-O26</f>
        <v>-1.67915464910851e-19</v>
      </c>
      <c r="E26" s="34">
        <f t="shared" ref="E26:E48" si="2">64*$C$20*$C$9*$C$13*$C$7*$C$14/$C$19/$C$19</f>
        <v>2.93789023766699e-18</v>
      </c>
      <c r="F26" s="34">
        <f t="shared" ref="F26:F48" si="3">EXP(-$C$19*B26)</f>
        <v>0.996724139414451</v>
      </c>
      <c r="G26" s="34">
        <f t="shared" ref="G26:G48" si="4">(EXP($C$15*$C$22*$C$21/2/$C$7/$C$14)-1)/(EXP($C$15*$C$22*$C$21/2/$C$7/$C$14)+1)</f>
        <v>-0.176864549710095</v>
      </c>
      <c r="H26" s="34">
        <f t="shared" ref="H26:H48" si="5">POWER($G26,2)</f>
        <v>0.0312810689441548</v>
      </c>
      <c r="I26" s="34">
        <f t="shared" ref="I26:I48" si="6">$E26*$F26*$H26</f>
        <v>9.15992943500398e-20</v>
      </c>
      <c r="J26" s="34">
        <f t="shared" ref="J26:J48" si="7">$C$4/6</f>
        <v>9.28333333333333e-21</v>
      </c>
      <c r="K26" s="34">
        <f t="shared" ref="K26:K48" si="8">2*$C$13*$C$13/(B26*B26+4*$C$13*B26)</f>
        <v>31.6254901960784</v>
      </c>
      <c r="L26" s="34">
        <f t="shared" ref="L26:L48" si="9">2*$C$13*$C$13/(B26*B26+4*$C$13*B26+4*$C$13*$C$13)</f>
        <v>0.492218017578125</v>
      </c>
      <c r="M26" s="34">
        <f t="shared" ref="M26:M49" si="10">(B26*B26+4*$C$13*B26)/(B26*B26+4*$C$13*B26+4*$C$13*$C$13)</f>
        <v>0.01556396484375</v>
      </c>
      <c r="N26" s="5">
        <f t="shared" ref="N26:N48" si="11">LN(M26)</f>
        <v>-4.16279698268081</v>
      </c>
      <c r="O26" s="34">
        <f t="shared" ref="O26:O48" si="12">J26*(K26+L26+N26)</f>
        <v>2.59514759260891e-19</v>
      </c>
      <c r="P26" s="7">
        <v>0</v>
      </c>
    </row>
    <row r="27" spans="1:16">
      <c r="A27" s="14">
        <v>0.001</v>
      </c>
      <c r="B27" s="36">
        <f t="shared" ref="B27:B48" si="13">A27/1000000000</f>
        <v>1e-12</v>
      </c>
      <c r="C27" s="36">
        <f t="shared" si="0"/>
        <v>-71574.1321281791</v>
      </c>
      <c r="D27" s="36">
        <f t="shared" si="1"/>
        <v>-2.94554751877666e-16</v>
      </c>
      <c r="E27" s="36">
        <f t="shared" si="2"/>
        <v>2.93789023766699e-18</v>
      </c>
      <c r="F27" s="36">
        <f t="shared" si="3"/>
        <v>0.999996718767419</v>
      </c>
      <c r="G27" s="36">
        <f t="shared" si="4"/>
        <v>-0.176864549710095</v>
      </c>
      <c r="H27" s="36">
        <f t="shared" si="5"/>
        <v>0.0312810689441548</v>
      </c>
      <c r="I27" s="36">
        <f t="shared" si="6"/>
        <v>9.19000455284075e-20</v>
      </c>
      <c r="J27" s="36">
        <f t="shared" si="7"/>
        <v>9.28333333333333e-21</v>
      </c>
      <c r="K27" s="36">
        <f t="shared" si="8"/>
        <v>31749.8750004921</v>
      </c>
      <c r="L27" s="36">
        <f t="shared" si="9"/>
        <v>0.499992126077251</v>
      </c>
      <c r="M27" s="36">
        <f t="shared" si="10"/>
        <v>1.57478454976437e-5</v>
      </c>
      <c r="N27" s="10">
        <f t="shared" si="11"/>
        <v>-11.0588069958502</v>
      </c>
      <c r="O27" s="36">
        <f t="shared" si="12"/>
        <v>2.94646651923194e-16</v>
      </c>
      <c r="P27" s="12">
        <v>0</v>
      </c>
    </row>
    <row r="28" spans="1:16">
      <c r="A28" s="15">
        <v>0.01</v>
      </c>
      <c r="B28" s="34">
        <f t="shared" si="13"/>
        <v>1e-11</v>
      </c>
      <c r="C28" s="34">
        <f t="shared" si="0"/>
        <v>-7120.81962128678</v>
      </c>
      <c r="D28" s="34">
        <f t="shared" si="1"/>
        <v>-2.93048786530512e-17</v>
      </c>
      <c r="E28" s="34">
        <f t="shared" si="2"/>
        <v>2.93789023766699e-18</v>
      </c>
      <c r="F28" s="34">
        <f t="shared" si="3"/>
        <v>0.999967188158683</v>
      </c>
      <c r="G28" s="34">
        <f t="shared" si="4"/>
        <v>-0.176864549710095</v>
      </c>
      <c r="H28" s="34">
        <f t="shared" si="5"/>
        <v>0.0312810689441548</v>
      </c>
      <c r="I28" s="34">
        <f t="shared" si="6"/>
        <v>9.18973316552153e-20</v>
      </c>
      <c r="J28" s="34">
        <f t="shared" si="7"/>
        <v>9.28333333333333e-21</v>
      </c>
      <c r="K28" s="34">
        <f t="shared" si="8"/>
        <v>3174.87500492107</v>
      </c>
      <c r="L28" s="34">
        <f t="shared" si="9"/>
        <v>0.499921269141562</v>
      </c>
      <c r="M28" s="34">
        <f t="shared" si="10"/>
        <v>0.000157461716875997</v>
      </c>
      <c r="N28" s="5">
        <f t="shared" si="11"/>
        <v>-8.75632819669825</v>
      </c>
      <c r="O28" s="34">
        <f t="shared" si="12"/>
        <v>2.93967759847064e-17</v>
      </c>
      <c r="P28" s="7">
        <v>0</v>
      </c>
    </row>
    <row r="29" spans="1:16">
      <c r="A29" s="14">
        <v>0.1</v>
      </c>
      <c r="B29" s="36">
        <f t="shared" si="13"/>
        <v>1e-10</v>
      </c>
      <c r="C29" s="36">
        <f t="shared" si="0"/>
        <v>-680.16572709843</v>
      </c>
      <c r="D29" s="36">
        <f t="shared" si="1"/>
        <v>-2.79914042998634e-18</v>
      </c>
      <c r="E29" s="36">
        <f t="shared" si="2"/>
        <v>2.93789023766699e-18</v>
      </c>
      <c r="F29" s="36">
        <f t="shared" si="3"/>
        <v>0.999671930030351</v>
      </c>
      <c r="G29" s="36">
        <f t="shared" si="4"/>
        <v>-0.176864549710095</v>
      </c>
      <c r="H29" s="36">
        <f t="shared" si="5"/>
        <v>0.0312810689441548</v>
      </c>
      <c r="I29" s="36">
        <f t="shared" si="6"/>
        <v>9.18701973307449e-20</v>
      </c>
      <c r="J29" s="36">
        <f t="shared" si="7"/>
        <v>9.28333333333333e-21</v>
      </c>
      <c r="K29" s="36">
        <f t="shared" si="8"/>
        <v>317.375049193231</v>
      </c>
      <c r="L29" s="36">
        <f t="shared" si="9"/>
        <v>0.499213527451637</v>
      </c>
      <c r="M29" s="36">
        <f t="shared" si="10"/>
        <v>0.00157294509672591</v>
      </c>
      <c r="N29" s="10">
        <f t="shared" si="11"/>
        <v>-6.45480555905874</v>
      </c>
      <c r="O29" s="36">
        <f t="shared" si="12"/>
        <v>2.89101062731708e-18</v>
      </c>
      <c r="P29" s="12">
        <v>0</v>
      </c>
    </row>
    <row r="30" spans="1:16">
      <c r="A30" s="15">
        <v>1</v>
      </c>
      <c r="B30" s="34">
        <f t="shared" si="13"/>
        <v>1e-9</v>
      </c>
      <c r="C30" s="34">
        <f t="shared" si="0"/>
        <v>-40.8019344291053</v>
      </c>
      <c r="D30" s="34">
        <f t="shared" si="1"/>
        <v>-1.67915464910851e-19</v>
      </c>
      <c r="E30" s="34">
        <f t="shared" si="2"/>
        <v>2.93789023766699e-18</v>
      </c>
      <c r="F30" s="34">
        <f t="shared" si="3"/>
        <v>0.996724139414451</v>
      </c>
      <c r="G30" s="34">
        <f t="shared" si="4"/>
        <v>-0.176864549710095</v>
      </c>
      <c r="H30" s="34">
        <f t="shared" si="5"/>
        <v>0.0312810689441548</v>
      </c>
      <c r="I30" s="34">
        <f t="shared" si="6"/>
        <v>9.15992943500398e-20</v>
      </c>
      <c r="J30" s="34">
        <f t="shared" si="7"/>
        <v>9.28333333333333e-21</v>
      </c>
      <c r="K30" s="34">
        <f t="shared" si="8"/>
        <v>31.6254901960784</v>
      </c>
      <c r="L30" s="34">
        <f t="shared" si="9"/>
        <v>0.492218017578125</v>
      </c>
      <c r="M30" s="34">
        <f t="shared" si="10"/>
        <v>0.01556396484375</v>
      </c>
      <c r="N30" s="5">
        <f t="shared" si="11"/>
        <v>-4.16279698268081</v>
      </c>
      <c r="O30" s="34">
        <f t="shared" si="12"/>
        <v>2.59514759260891e-19</v>
      </c>
      <c r="P30" s="7">
        <v>0</v>
      </c>
    </row>
    <row r="31" spans="1:16">
      <c r="A31" s="14">
        <v>2</v>
      </c>
      <c r="B31" s="36">
        <f t="shared" si="13"/>
        <v>2e-9</v>
      </c>
      <c r="C31" s="36">
        <f t="shared" si="0"/>
        <v>-6.58581288263941</v>
      </c>
      <c r="D31" s="36">
        <f t="shared" si="1"/>
        <v>-2.71031226209566e-20</v>
      </c>
      <c r="E31" s="36">
        <f t="shared" si="2"/>
        <v>2.93789023766699e-18</v>
      </c>
      <c r="F31" s="36">
        <f t="shared" si="3"/>
        <v>0.993459010091478</v>
      </c>
      <c r="G31" s="36">
        <f t="shared" si="4"/>
        <v>-0.176864549710095</v>
      </c>
      <c r="H31" s="36">
        <f t="shared" si="5"/>
        <v>0.0312810689441548</v>
      </c>
      <c r="I31" s="36">
        <f t="shared" si="6"/>
        <v>9.12992278320144e-20</v>
      </c>
      <c r="J31" s="36">
        <f t="shared" si="7"/>
        <v>9.28333333333333e-21</v>
      </c>
      <c r="K31" s="36">
        <f t="shared" si="8"/>
        <v>15.7509765625</v>
      </c>
      <c r="L31" s="36">
        <f t="shared" si="9"/>
        <v>0.484616309116039</v>
      </c>
      <c r="M31" s="36">
        <f t="shared" si="10"/>
        <v>0.0307673817679226</v>
      </c>
      <c r="N31" s="10">
        <f t="shared" si="11"/>
        <v>-3.48130018368384</v>
      </c>
      <c r="O31" s="36">
        <f t="shared" si="12"/>
        <v>1.18402350452971e-19</v>
      </c>
      <c r="P31" s="12">
        <v>0</v>
      </c>
    </row>
    <row r="32" spans="1:16">
      <c r="A32" s="15">
        <v>3</v>
      </c>
      <c r="B32" s="34">
        <f t="shared" si="13"/>
        <v>3e-9</v>
      </c>
      <c r="C32" s="34">
        <f t="shared" si="0"/>
        <v>4.40534747631204</v>
      </c>
      <c r="D32" s="34">
        <f t="shared" si="1"/>
        <v>1.81296788970651e-20</v>
      </c>
      <c r="E32" s="34">
        <f t="shared" si="2"/>
        <v>2.93789023766699e-18</v>
      </c>
      <c r="F32" s="34">
        <f t="shared" si="3"/>
        <v>0.990204576876961</v>
      </c>
      <c r="G32" s="34">
        <f t="shared" si="4"/>
        <v>-0.176864549710095</v>
      </c>
      <c r="H32" s="34">
        <f t="shared" si="5"/>
        <v>0.0312810689441548</v>
      </c>
      <c r="I32" s="34">
        <f t="shared" si="6"/>
        <v>9.10001442900685e-20</v>
      </c>
      <c r="J32" s="34">
        <f t="shared" si="7"/>
        <v>9.28333333333333e-21</v>
      </c>
      <c r="K32" s="34">
        <f t="shared" si="8"/>
        <v>10.4597924773022</v>
      </c>
      <c r="L32" s="34">
        <f t="shared" si="9"/>
        <v>0.477189349112426</v>
      </c>
      <c r="M32" s="34">
        <f t="shared" si="10"/>
        <v>0.0456213017751479</v>
      </c>
      <c r="N32" s="5">
        <f t="shared" si="11"/>
        <v>-3.08738052734784</v>
      </c>
      <c r="O32" s="34">
        <f t="shared" si="12"/>
        <v>7.28704653930034e-20</v>
      </c>
      <c r="P32" s="7">
        <v>0</v>
      </c>
    </row>
    <row r="33" spans="1:16">
      <c r="A33" s="14">
        <v>4</v>
      </c>
      <c r="B33" s="36">
        <f t="shared" si="13"/>
        <v>4e-9</v>
      </c>
      <c r="C33" s="36">
        <f t="shared" si="0"/>
        <v>9.69345000965044</v>
      </c>
      <c r="D33" s="36">
        <f t="shared" si="1"/>
        <v>3.98922303007152e-20</v>
      </c>
      <c r="E33" s="36">
        <f t="shared" si="2"/>
        <v>2.93789023766699e-18</v>
      </c>
      <c r="F33" s="36">
        <f t="shared" si="3"/>
        <v>0.986960804731939</v>
      </c>
      <c r="G33" s="36">
        <f t="shared" si="4"/>
        <v>-0.176864549710095</v>
      </c>
      <c r="H33" s="36">
        <f t="shared" si="5"/>
        <v>0.0312810689441548</v>
      </c>
      <c r="I33" s="36">
        <f t="shared" si="6"/>
        <v>9.07020405041093e-20</v>
      </c>
      <c r="J33" s="36">
        <f t="shared" si="7"/>
        <v>9.28333333333333e-21</v>
      </c>
      <c r="K33" s="36">
        <f t="shared" si="8"/>
        <v>7.81443798449612</v>
      </c>
      <c r="L33" s="36">
        <f t="shared" si="9"/>
        <v>0.469931822154886</v>
      </c>
      <c r="M33" s="36">
        <f t="shared" si="10"/>
        <v>0.0601363556902278</v>
      </c>
      <c r="N33" s="10">
        <f t="shared" si="11"/>
        <v>-2.81114070036079</v>
      </c>
      <c r="O33" s="36">
        <f t="shared" si="12"/>
        <v>5.08098102033941e-20</v>
      </c>
      <c r="P33" s="12">
        <v>0</v>
      </c>
    </row>
    <row r="34" spans="1:16">
      <c r="A34" s="15">
        <v>5</v>
      </c>
      <c r="B34" s="34">
        <f t="shared" si="13"/>
        <v>5e-9</v>
      </c>
      <c r="C34" s="34">
        <f t="shared" si="0"/>
        <v>12.7394301798281</v>
      </c>
      <c r="D34" s="34">
        <f t="shared" si="1"/>
        <v>5.24275961734611e-20</v>
      </c>
      <c r="E34" s="34">
        <f t="shared" si="2"/>
        <v>2.93789023766699e-18</v>
      </c>
      <c r="F34" s="34">
        <f t="shared" si="3"/>
        <v>0.983727658732236</v>
      </c>
      <c r="G34" s="34">
        <f t="shared" si="4"/>
        <v>-0.176864549710095</v>
      </c>
      <c r="H34" s="34">
        <f t="shared" si="5"/>
        <v>0.0312810689441548</v>
      </c>
      <c r="I34" s="34">
        <f t="shared" si="6"/>
        <v>9.0404913264593e-20</v>
      </c>
      <c r="J34" s="34">
        <f t="shared" si="7"/>
        <v>9.28333333333333e-21</v>
      </c>
      <c r="K34" s="34">
        <f t="shared" si="8"/>
        <v>6.22741312741313</v>
      </c>
      <c r="L34" s="34">
        <f t="shared" si="9"/>
        <v>0.462838613406795</v>
      </c>
      <c r="M34" s="34">
        <f t="shared" si="10"/>
        <v>0.0743227731864095</v>
      </c>
      <c r="N34" s="5">
        <f t="shared" si="11"/>
        <v>-2.5993378710391</v>
      </c>
      <c r="O34" s="34">
        <f t="shared" si="12"/>
        <v>3.79773170911319e-20</v>
      </c>
      <c r="P34" s="7">
        <v>0</v>
      </c>
    </row>
    <row r="35" spans="1:16">
      <c r="A35" s="14">
        <v>6</v>
      </c>
      <c r="B35" s="36">
        <f t="shared" si="13"/>
        <v>6e-9</v>
      </c>
      <c r="C35" s="36">
        <f t="shared" si="0"/>
        <v>14.6834790504437</v>
      </c>
      <c r="D35" s="36">
        <f t="shared" si="1"/>
        <v>6.04280960146148e-20</v>
      </c>
      <c r="E35" s="36">
        <f t="shared" si="2"/>
        <v>2.93789023766699e-18</v>
      </c>
      <c r="F35" s="36">
        <f t="shared" si="3"/>
        <v>0.980505104068081</v>
      </c>
      <c r="G35" s="36">
        <f t="shared" si="4"/>
        <v>-0.176864549710095</v>
      </c>
      <c r="H35" s="36">
        <f t="shared" si="5"/>
        <v>0.0312810689441548</v>
      </c>
      <c r="I35" s="36">
        <f t="shared" si="6"/>
        <v>9.01087593724896e-20</v>
      </c>
      <c r="J35" s="36">
        <f t="shared" si="7"/>
        <v>9.28333333333333e-21</v>
      </c>
      <c r="K35" s="36">
        <f t="shared" si="8"/>
        <v>5.16955128205128</v>
      </c>
      <c r="L35" s="36">
        <f t="shared" si="9"/>
        <v>0.455904799592967</v>
      </c>
      <c r="M35" s="36">
        <f t="shared" si="10"/>
        <v>0.0881904008140652</v>
      </c>
      <c r="N35" s="10">
        <f t="shared" si="11"/>
        <v>-2.42825715619992</v>
      </c>
      <c r="O35" s="36">
        <f t="shared" si="12"/>
        <v>2.96806633578748e-20</v>
      </c>
      <c r="P35" s="12">
        <v>0</v>
      </c>
    </row>
    <row r="36" spans="1:16">
      <c r="A36" s="15">
        <v>7</v>
      </c>
      <c r="B36" s="34">
        <f t="shared" si="13"/>
        <v>7e-9</v>
      </c>
      <c r="C36" s="34">
        <f t="shared" si="0"/>
        <v>16.0086475593058</v>
      </c>
      <c r="D36" s="34">
        <f t="shared" si="1"/>
        <v>6.58816679926158e-20</v>
      </c>
      <c r="E36" s="34">
        <f t="shared" si="2"/>
        <v>2.93789023766699e-18</v>
      </c>
      <c r="F36" s="34">
        <f t="shared" si="3"/>
        <v>0.977293106043735</v>
      </c>
      <c r="G36" s="34">
        <f t="shared" si="4"/>
        <v>-0.176864549710095</v>
      </c>
      <c r="H36" s="34">
        <f t="shared" si="5"/>
        <v>0.0312810689441548</v>
      </c>
      <c r="I36" s="34">
        <f t="shared" si="6"/>
        <v>8.98135756392486e-20</v>
      </c>
      <c r="J36" s="34">
        <f t="shared" si="7"/>
        <v>9.28333333333333e-21</v>
      </c>
      <c r="K36" s="34">
        <f t="shared" si="8"/>
        <v>4.41406677613574</v>
      </c>
      <c r="L36" s="34">
        <f t="shared" si="9"/>
        <v>0.449125640454444</v>
      </c>
      <c r="M36" s="34">
        <f t="shared" si="10"/>
        <v>0.101748719091112</v>
      </c>
      <c r="N36" s="5">
        <f t="shared" si="11"/>
        <v>-2.28524904352382</v>
      </c>
      <c r="O36" s="34">
        <f t="shared" si="12"/>
        <v>2.39319076466328e-20</v>
      </c>
      <c r="P36" s="7">
        <v>0</v>
      </c>
    </row>
    <row r="37" spans="1:16">
      <c r="A37" s="14">
        <v>8</v>
      </c>
      <c r="B37" s="36">
        <f t="shared" si="13"/>
        <v>8e-9</v>
      </c>
      <c r="C37" s="36">
        <f t="shared" si="0"/>
        <v>16.9537017846392</v>
      </c>
      <c r="D37" s="36">
        <f t="shared" si="1"/>
        <v>6.97709252504685e-20</v>
      </c>
      <c r="E37" s="36">
        <f t="shared" si="2"/>
        <v>2.93789023766699e-18</v>
      </c>
      <c r="F37" s="36">
        <f t="shared" si="3"/>
        <v>0.974091630077117</v>
      </c>
      <c r="G37" s="36">
        <f t="shared" si="4"/>
        <v>-0.176864549710095</v>
      </c>
      <c r="H37" s="36">
        <f t="shared" si="5"/>
        <v>0.0312810689441548</v>
      </c>
      <c r="I37" s="36">
        <f t="shared" si="6"/>
        <v>8.95193588867647e-20</v>
      </c>
      <c r="J37" s="36">
        <f t="shared" si="7"/>
        <v>9.28333333333333e-21</v>
      </c>
      <c r="K37" s="36">
        <f t="shared" si="8"/>
        <v>3.84756679389313</v>
      </c>
      <c r="L37" s="36">
        <f t="shared" si="9"/>
        <v>0.442496570644719</v>
      </c>
      <c r="M37" s="36">
        <f t="shared" si="10"/>
        <v>0.115006858710562</v>
      </c>
      <c r="N37" s="10">
        <f t="shared" si="11"/>
        <v>-2.16276351143593</v>
      </c>
      <c r="O37" s="36">
        <f t="shared" si="12"/>
        <v>1.97484336362962e-20</v>
      </c>
      <c r="P37" s="12">
        <v>0</v>
      </c>
    </row>
    <row r="38" spans="1:16">
      <c r="A38" s="15">
        <v>9</v>
      </c>
      <c r="B38" s="34">
        <f t="shared" si="13"/>
        <v>9e-9</v>
      </c>
      <c r="C38" s="34">
        <f t="shared" si="0"/>
        <v>17.649770856718</v>
      </c>
      <c r="D38" s="34">
        <f t="shared" si="1"/>
        <v>7.26355139883203e-20</v>
      </c>
      <c r="E38" s="34">
        <f t="shared" si="2"/>
        <v>2.93789023766699e-18</v>
      </c>
      <c r="F38" s="34">
        <f t="shared" si="3"/>
        <v>0.970900641699434</v>
      </c>
      <c r="G38" s="34">
        <f t="shared" si="4"/>
        <v>-0.176864549710095</v>
      </c>
      <c r="H38" s="34">
        <f t="shared" si="5"/>
        <v>0.0312810689441548</v>
      </c>
      <c r="I38" s="34">
        <f t="shared" si="6"/>
        <v>8.92261059473439e-20</v>
      </c>
      <c r="J38" s="34">
        <f t="shared" si="7"/>
        <v>9.28333333333333e-21</v>
      </c>
      <c r="K38" s="34">
        <f t="shared" si="8"/>
        <v>3.4070553443177</v>
      </c>
      <c r="L38" s="34">
        <f t="shared" si="9"/>
        <v>0.436013192041523</v>
      </c>
      <c r="M38" s="34">
        <f t="shared" si="10"/>
        <v>0.127973615916955</v>
      </c>
      <c r="N38" s="5">
        <f t="shared" si="11"/>
        <v>-2.05593116195812</v>
      </c>
      <c r="O38" s="34">
        <f t="shared" si="12"/>
        <v>1.65905919590236e-20</v>
      </c>
      <c r="P38" s="7">
        <v>0</v>
      </c>
    </row>
    <row r="39" spans="1:16">
      <c r="A39" s="14">
        <v>10</v>
      </c>
      <c r="B39" s="36">
        <f t="shared" si="13"/>
        <v>1e-8</v>
      </c>
      <c r="C39" s="36">
        <f t="shared" si="0"/>
        <v>18.1746271220146</v>
      </c>
      <c r="D39" s="36">
        <f t="shared" si="1"/>
        <v>7.47954969653963e-20</v>
      </c>
      <c r="E39" s="36">
        <f t="shared" si="2"/>
        <v>2.93789023766699e-18</v>
      </c>
      <c r="F39" s="36">
        <f t="shared" si="3"/>
        <v>0.967720106554807</v>
      </c>
      <c r="G39" s="36">
        <f t="shared" si="4"/>
        <v>-0.176864549710095</v>
      </c>
      <c r="H39" s="36">
        <f t="shared" si="5"/>
        <v>0.0312810689441548</v>
      </c>
      <c r="I39" s="36">
        <f t="shared" si="6"/>
        <v>8.8933813663669e-20</v>
      </c>
      <c r="J39" s="36">
        <f t="shared" si="7"/>
        <v>9.28333333333333e-21</v>
      </c>
      <c r="K39" s="36">
        <f t="shared" si="8"/>
        <v>3.05473484848485</v>
      </c>
      <c r="L39" s="36">
        <f t="shared" si="9"/>
        <v>0.429671266449997</v>
      </c>
      <c r="M39" s="36">
        <f t="shared" si="10"/>
        <v>0.140657467100005</v>
      </c>
      <c r="N39" s="10">
        <f t="shared" si="11"/>
        <v>-1.96142765551589</v>
      </c>
      <c r="O39" s="36">
        <f t="shared" si="12"/>
        <v>1.41383166982727e-20</v>
      </c>
      <c r="P39" s="12">
        <v>0</v>
      </c>
    </row>
    <row r="40" spans="1:16">
      <c r="A40" s="15">
        <v>20</v>
      </c>
      <c r="B40" s="34">
        <f t="shared" si="13"/>
        <v>2e-8</v>
      </c>
      <c r="C40" s="34">
        <f t="shared" si="0"/>
        <v>19.8459659654509</v>
      </c>
      <c r="D40" s="34">
        <f t="shared" si="1"/>
        <v>8.16736914148973e-20</v>
      </c>
      <c r="E40" s="34">
        <f t="shared" si="2"/>
        <v>2.93789023766699e-18</v>
      </c>
      <c r="F40" s="34">
        <f t="shared" si="3"/>
        <v>0.936482204630447</v>
      </c>
      <c r="G40" s="34">
        <f t="shared" si="4"/>
        <v>-0.176864549710095</v>
      </c>
      <c r="H40" s="34">
        <f t="shared" si="5"/>
        <v>0.0312810689441548</v>
      </c>
      <c r="I40" s="34">
        <f t="shared" si="6"/>
        <v>8.60630396349311e-20</v>
      </c>
      <c r="J40" s="34">
        <f t="shared" si="7"/>
        <v>9.28333333333333e-21</v>
      </c>
      <c r="K40" s="34">
        <f t="shared" si="8"/>
        <v>1.47162408759124</v>
      </c>
      <c r="L40" s="34">
        <f t="shared" si="9"/>
        <v>0.373200981072701</v>
      </c>
      <c r="M40" s="34">
        <f t="shared" si="10"/>
        <v>0.253598037854598</v>
      </c>
      <c r="N40" s="5">
        <f t="shared" si="11"/>
        <v>-1.37200479361541</v>
      </c>
      <c r="O40" s="34">
        <f t="shared" si="12"/>
        <v>4.38934822003386e-21</v>
      </c>
      <c r="P40" s="7">
        <v>0</v>
      </c>
    </row>
    <row r="41" spans="1:16">
      <c r="A41" s="14">
        <v>30</v>
      </c>
      <c r="B41" s="36">
        <f t="shared" si="13"/>
        <v>3e-8</v>
      </c>
      <c r="C41" s="36">
        <f t="shared" si="0"/>
        <v>19.7606344953984</v>
      </c>
      <c r="D41" s="36">
        <f t="shared" si="1"/>
        <v>8.13225199896727e-20</v>
      </c>
      <c r="E41" s="36">
        <f t="shared" si="2"/>
        <v>2.93789023766699e-18</v>
      </c>
      <c r="F41" s="36">
        <f t="shared" si="3"/>
        <v>0.906252658851656</v>
      </c>
      <c r="G41" s="36">
        <f t="shared" si="4"/>
        <v>-0.176864549710095</v>
      </c>
      <c r="H41" s="36">
        <f t="shared" si="5"/>
        <v>0.0312810689441548</v>
      </c>
      <c r="I41" s="36">
        <f t="shared" si="6"/>
        <v>8.32849338859461e-20</v>
      </c>
      <c r="J41" s="36">
        <f t="shared" si="7"/>
        <v>9.28333333333333e-21</v>
      </c>
      <c r="K41" s="36">
        <f t="shared" si="8"/>
        <v>0.946537558685446</v>
      </c>
      <c r="L41" s="36">
        <f t="shared" si="9"/>
        <v>0.327173516166984</v>
      </c>
      <c r="M41" s="36">
        <f t="shared" si="10"/>
        <v>0.345652967666031</v>
      </c>
      <c r="N41" s="10">
        <f t="shared" si="11"/>
        <v>-1.06231999087326</v>
      </c>
      <c r="O41" s="36">
        <f t="shared" si="12"/>
        <v>1.96241389627335e-21</v>
      </c>
      <c r="P41" s="12">
        <v>0</v>
      </c>
    </row>
    <row r="42" spans="1:16">
      <c r="A42" s="15">
        <v>40</v>
      </c>
      <c r="B42" s="34">
        <f t="shared" si="13"/>
        <v>4e-8</v>
      </c>
      <c r="C42" s="34">
        <f t="shared" si="0"/>
        <v>19.3329438808572</v>
      </c>
      <c r="D42" s="34">
        <f t="shared" si="1"/>
        <v>7.95624105884021e-20</v>
      </c>
      <c r="E42" s="34">
        <f t="shared" si="2"/>
        <v>2.93789023766699e-18</v>
      </c>
      <c r="F42" s="34">
        <f t="shared" si="3"/>
        <v>0.876998919589502</v>
      </c>
      <c r="G42" s="34">
        <f t="shared" si="4"/>
        <v>-0.176864549710095</v>
      </c>
      <c r="H42" s="34">
        <f t="shared" si="5"/>
        <v>0.0312810689441548</v>
      </c>
      <c r="I42" s="34">
        <f t="shared" si="6"/>
        <v>8.05965050945178e-20</v>
      </c>
      <c r="J42" s="34">
        <f t="shared" si="7"/>
        <v>9.28333333333333e-21</v>
      </c>
      <c r="K42" s="34">
        <f t="shared" si="8"/>
        <v>0.685756802721089</v>
      </c>
      <c r="L42" s="34">
        <f t="shared" si="9"/>
        <v>0.289164186596866</v>
      </c>
      <c r="M42" s="34">
        <f t="shared" si="10"/>
        <v>0.421671626806268</v>
      </c>
      <c r="N42" s="5">
        <f t="shared" si="11"/>
        <v>-0.863528403380892</v>
      </c>
      <c r="O42" s="34">
        <f t="shared" si="12"/>
        <v>1.03409450611573e-21</v>
      </c>
      <c r="P42" s="7">
        <v>0</v>
      </c>
    </row>
    <row r="43" spans="1:16">
      <c r="A43" s="14">
        <v>50</v>
      </c>
      <c r="B43" s="36">
        <f t="shared" si="13"/>
        <v>5e-8</v>
      </c>
      <c r="C43" s="36">
        <f t="shared" si="0"/>
        <v>18.8060414128577</v>
      </c>
      <c r="D43" s="36">
        <f t="shared" si="1"/>
        <v>7.73940067096465e-20</v>
      </c>
      <c r="E43" s="36">
        <f t="shared" si="2"/>
        <v>2.93789023766699e-18</v>
      </c>
      <c r="F43" s="36">
        <f t="shared" si="3"/>
        <v>0.848689487913603</v>
      </c>
      <c r="G43" s="36">
        <f t="shared" si="4"/>
        <v>-0.176864549710095</v>
      </c>
      <c r="H43" s="36">
        <f t="shared" si="5"/>
        <v>0.0312810689441548</v>
      </c>
      <c r="I43" s="36">
        <f t="shared" si="6"/>
        <v>7.79948584980118e-20</v>
      </c>
      <c r="J43" s="36">
        <f t="shared" si="7"/>
        <v>9.28333333333333e-21</v>
      </c>
      <c r="K43" s="36">
        <f t="shared" si="8"/>
        <v>0.530559210526316</v>
      </c>
      <c r="L43" s="36">
        <f t="shared" si="9"/>
        <v>0.257413259280539</v>
      </c>
      <c r="M43" s="36">
        <f t="shared" si="10"/>
        <v>0.485173481438922</v>
      </c>
      <c r="N43" s="10">
        <f t="shared" si="11"/>
        <v>-0.723248758313291</v>
      </c>
      <c r="O43" s="36">
        <f t="shared" si="12"/>
        <v>6.00851788365251e-22</v>
      </c>
      <c r="P43" s="12">
        <v>0</v>
      </c>
    </row>
    <row r="44" spans="1:16">
      <c r="A44" s="15">
        <v>60</v>
      </c>
      <c r="B44" s="34">
        <f t="shared" si="13"/>
        <v>6e-8</v>
      </c>
      <c r="C44" s="34">
        <f t="shared" si="0"/>
        <v>18.2496118091804</v>
      </c>
      <c r="D44" s="34">
        <f t="shared" si="1"/>
        <v>7.5104087447265e-20</v>
      </c>
      <c r="E44" s="34">
        <f t="shared" si="2"/>
        <v>2.93789023766699e-18</v>
      </c>
      <c r="F44" s="34">
        <f t="shared" si="3"/>
        <v>0.821293881675697</v>
      </c>
      <c r="G44" s="34">
        <f t="shared" si="4"/>
        <v>-0.176864549710095</v>
      </c>
      <c r="H44" s="34">
        <f t="shared" si="5"/>
        <v>0.0312810689441548</v>
      </c>
      <c r="I44" s="34">
        <f t="shared" si="6"/>
        <v>7.54771927764231e-20</v>
      </c>
      <c r="J44" s="34">
        <f t="shared" si="7"/>
        <v>9.28333333333333e-21</v>
      </c>
      <c r="K44" s="34">
        <f t="shared" si="8"/>
        <v>0.428052016985138</v>
      </c>
      <c r="L44" s="34">
        <f t="shared" si="9"/>
        <v>0.230618547856673</v>
      </c>
      <c r="M44" s="34">
        <f t="shared" si="10"/>
        <v>0.538762904286654</v>
      </c>
      <c r="N44" s="5">
        <f t="shared" si="11"/>
        <v>-0.618479685578819</v>
      </c>
      <c r="O44" s="34">
        <f t="shared" si="12"/>
        <v>3.73105329158106e-22</v>
      </c>
      <c r="P44" s="7">
        <v>0</v>
      </c>
    </row>
    <row r="45" spans="1:16">
      <c r="A45" s="14">
        <v>70</v>
      </c>
      <c r="B45" s="36">
        <f t="shared" si="13"/>
        <v>7e-8</v>
      </c>
      <c r="C45" s="36">
        <f t="shared" si="0"/>
        <v>17.6891304094549</v>
      </c>
      <c r="D45" s="36">
        <f t="shared" si="1"/>
        <v>7.27974935044626e-20</v>
      </c>
      <c r="E45" s="36">
        <f t="shared" si="2"/>
        <v>2.93789023766699e-18</v>
      </c>
      <c r="F45" s="36">
        <f t="shared" si="3"/>
        <v>0.794782602688016</v>
      </c>
      <c r="G45" s="36">
        <f t="shared" si="4"/>
        <v>-0.176864549710095</v>
      </c>
      <c r="H45" s="36">
        <f t="shared" si="5"/>
        <v>0.0312810689441548</v>
      </c>
      <c r="I45" s="36">
        <f t="shared" si="6"/>
        <v>7.30407970360578e-20</v>
      </c>
      <c r="J45" s="36">
        <f t="shared" si="7"/>
        <v>9.28333333333333e-21</v>
      </c>
      <c r="K45" s="36">
        <f t="shared" si="8"/>
        <v>0.355577601410935</v>
      </c>
      <c r="L45" s="36">
        <f t="shared" si="9"/>
        <v>0.207799737174367</v>
      </c>
      <c r="M45" s="36">
        <f t="shared" si="10"/>
        <v>0.584400525651267</v>
      </c>
      <c r="N45" s="10">
        <f t="shared" si="11"/>
        <v>-0.537168699634288</v>
      </c>
      <c r="O45" s="36">
        <f t="shared" si="12"/>
        <v>2.43303531595238e-22</v>
      </c>
      <c r="P45" s="12">
        <v>0</v>
      </c>
    </row>
    <row r="46" spans="1:16">
      <c r="A46" s="15">
        <v>80</v>
      </c>
      <c r="B46" s="34">
        <f t="shared" si="13"/>
        <v>8e-8</v>
      </c>
      <c r="C46" s="34">
        <f t="shared" si="0"/>
        <v>17.1352936322581</v>
      </c>
      <c r="D46" s="34">
        <f t="shared" si="1"/>
        <v>7.05182447083223e-20</v>
      </c>
      <c r="E46" s="34">
        <f t="shared" si="2"/>
        <v>2.93789023766699e-18</v>
      </c>
      <c r="F46" s="34">
        <f t="shared" si="3"/>
        <v>0.769127104961154</v>
      </c>
      <c r="G46" s="34">
        <f t="shared" si="4"/>
        <v>-0.176864549710095</v>
      </c>
      <c r="H46" s="34">
        <f t="shared" si="5"/>
        <v>0.0312810689441548</v>
      </c>
      <c r="I46" s="34">
        <f t="shared" si="6"/>
        <v>7.06830478905819e-20</v>
      </c>
      <c r="J46" s="34">
        <f t="shared" si="7"/>
        <v>9.28333333333333e-21</v>
      </c>
      <c r="K46" s="34">
        <f t="shared" si="8"/>
        <v>0.301815119760479</v>
      </c>
      <c r="L46" s="34">
        <f t="shared" si="9"/>
        <v>0.188207426077621</v>
      </c>
      <c r="M46" s="34">
        <f t="shared" si="10"/>
        <v>0.623585147844757</v>
      </c>
      <c r="N46" s="5">
        <f t="shared" si="11"/>
        <v>-0.472269958880156</v>
      </c>
      <c r="O46" s="34">
        <f t="shared" si="12"/>
        <v>1.64803182259583e-22</v>
      </c>
      <c r="P46" s="7">
        <v>0</v>
      </c>
    </row>
    <row r="47" spans="1:16">
      <c r="A47" s="14">
        <v>90</v>
      </c>
      <c r="B47" s="36">
        <f t="shared" si="13"/>
        <v>9e-8</v>
      </c>
      <c r="C47" s="36">
        <f t="shared" si="0"/>
        <v>16.5929526451666</v>
      </c>
      <c r="D47" s="36">
        <f t="shared" si="1"/>
        <v>6.82863054568658e-20</v>
      </c>
      <c r="E47" s="36">
        <f t="shared" si="2"/>
        <v>2.93789023766699e-18</v>
      </c>
      <c r="F47" s="36">
        <f t="shared" si="3"/>
        <v>0.744299763967198</v>
      </c>
      <c r="G47" s="36">
        <f t="shared" si="4"/>
        <v>-0.176864549710095</v>
      </c>
      <c r="H47" s="36">
        <f t="shared" si="5"/>
        <v>0.0312810689441548</v>
      </c>
      <c r="I47" s="36">
        <f t="shared" si="6"/>
        <v>6.84014066362925e-20</v>
      </c>
      <c r="J47" s="36">
        <f t="shared" si="7"/>
        <v>9.28333333333333e-21</v>
      </c>
      <c r="K47" s="36">
        <f t="shared" si="8"/>
        <v>0.260481266149871</v>
      </c>
      <c r="L47" s="36">
        <f t="shared" si="9"/>
        <v>0.171260804009429</v>
      </c>
      <c r="M47" s="36">
        <f t="shared" si="10"/>
        <v>0.657478391981142</v>
      </c>
      <c r="N47" s="10">
        <f t="shared" si="11"/>
        <v>-0.419343379377256</v>
      </c>
      <c r="O47" s="36">
        <f t="shared" si="12"/>
        <v>1.15101179426641e-22</v>
      </c>
      <c r="P47" s="12">
        <v>0</v>
      </c>
    </row>
    <row r="48" spans="1:16">
      <c r="A48" s="15">
        <v>100</v>
      </c>
      <c r="B48" s="34">
        <f t="shared" si="13"/>
        <v>1e-7</v>
      </c>
      <c r="C48" s="34">
        <f t="shared" si="0"/>
        <v>16.0643641295319</v>
      </c>
      <c r="D48" s="34">
        <f t="shared" si="1"/>
        <v>6.61109628513931e-20</v>
      </c>
      <c r="E48" s="34">
        <f t="shared" si="2"/>
        <v>2.93789023766699e-18</v>
      </c>
      <c r="F48" s="34">
        <f t="shared" si="3"/>
        <v>0.720273846895054</v>
      </c>
      <c r="G48" s="34">
        <f t="shared" si="4"/>
        <v>-0.176864549710095</v>
      </c>
      <c r="H48" s="34">
        <f t="shared" si="5"/>
        <v>0.0312810689441548</v>
      </c>
      <c r="I48" s="34">
        <f t="shared" si="6"/>
        <v>6.61934165185716e-20</v>
      </c>
      <c r="J48" s="34">
        <f t="shared" si="7"/>
        <v>9.28333333333333e-21</v>
      </c>
      <c r="K48" s="34">
        <f t="shared" si="8"/>
        <v>0.227810734463277</v>
      </c>
      <c r="L48" s="34">
        <f t="shared" si="9"/>
        <v>0.156504104484853</v>
      </c>
      <c r="M48" s="34">
        <f t="shared" si="10"/>
        <v>0.686991791030294</v>
      </c>
      <c r="N48" s="5">
        <f t="shared" si="11"/>
        <v>-0.37543293584094</v>
      </c>
      <c r="O48" s="34">
        <f t="shared" si="12"/>
        <v>8.2453667178419e-23</v>
      </c>
      <c r="P48" s="7">
        <v>0</v>
      </c>
    </row>
    <row r="49" spans="1:16">
      <c r="A49" s="38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9">
        <f t="shared" si="10"/>
        <v>0</v>
      </c>
      <c r="N49" s="40"/>
      <c r="O49" s="40"/>
      <c r="P49" s="41"/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zoomScale="85" zoomScaleNormal="85" topLeftCell="A20" workbookViewId="0">
      <selection activeCell="A25" sqref="A25:O49"/>
    </sheetView>
  </sheetViews>
  <sheetFormatPr defaultColWidth="9.10576923076923" defaultRowHeight="16.8"/>
  <cols>
    <col min="2" max="2" width="36" customWidth="1"/>
    <col min="3" max="3" width="12" customWidth="1"/>
    <col min="4" max="4" width="9.44230769230769" customWidth="1"/>
    <col min="5" max="5" width="22.7788461538462" customWidth="1"/>
    <col min="6" max="6" width="12.5576923076923" customWidth="1"/>
    <col min="7" max="7" width="12" customWidth="1"/>
    <col min="8" max="8" width="26.1057692307692" customWidth="1"/>
    <col min="9" max="9" width="31.7788461538462" customWidth="1"/>
    <col min="10" max="10" width="9.23076923076923"/>
    <col min="11" max="11" width="13.1057692307692" customWidth="1"/>
    <col min="12" max="12" width="16" customWidth="1"/>
    <col min="13" max="13" width="10"/>
    <col min="14" max="14" width="14.0769230769231"/>
    <col min="15" max="15" width="9.23076923076923"/>
  </cols>
  <sheetData>
    <row r="1" spans="1:7">
      <c r="A1" s="43"/>
      <c r="B1" s="44" t="s">
        <v>69</v>
      </c>
      <c r="C1" s="44"/>
      <c r="D1" s="45"/>
    </row>
    <row r="2" spans="1:7">
      <c r="A2" s="46"/>
      <c r="B2" s="47"/>
      <c r="C2" s="47"/>
      <c r="D2" s="48"/>
    </row>
    <row r="3" spans="1:7">
      <c r="A3" s="49" t="s">
        <v>0</v>
      </c>
      <c r="B3" s="50" t="s">
        <v>1</v>
      </c>
      <c r="C3" s="50" t="s">
        <v>2</v>
      </c>
      <c r="D3" s="51" t="s">
        <v>3</v>
      </c>
      <c r="E3" t="s">
        <v>70</v>
      </c>
    </row>
    <row r="4" spans="1:7">
      <c r="A4" s="52" t="s">
        <v>5</v>
      </c>
      <c r="B4" s="47" t="s">
        <v>6</v>
      </c>
      <c r="C4" s="6">
        <v>5.57e-20</v>
      </c>
      <c r="D4" s="48" t="s">
        <v>7</v>
      </c>
      <c r="G4" s="8"/>
    </row>
    <row r="5" spans="1:7">
      <c r="A5" s="49" t="s">
        <v>9</v>
      </c>
      <c r="B5" s="50" t="s">
        <v>10</v>
      </c>
      <c r="C5" s="55">
        <f>0.3/1000</f>
        <v>0.0003</v>
      </c>
      <c r="D5" s="51"/>
      <c r="G5" s="8"/>
    </row>
    <row r="6" spans="1:7">
      <c r="A6" s="52" t="s">
        <v>12</v>
      </c>
      <c r="B6" s="47" t="s">
        <v>13</v>
      </c>
      <c r="C6" s="6">
        <f>0.3/1000</f>
        <v>0.0003</v>
      </c>
      <c r="D6" s="48"/>
      <c r="G6" s="8"/>
    </row>
    <row r="7" ht="20" spans="1:7">
      <c r="A7" s="54" t="s">
        <v>15</v>
      </c>
      <c r="B7" s="50" t="s">
        <v>16</v>
      </c>
      <c r="C7" s="55">
        <v>1.381e-23</v>
      </c>
      <c r="D7" s="51" t="s">
        <v>71</v>
      </c>
    </row>
    <row r="8" ht="20" spans="1:7">
      <c r="A8" s="46" t="s">
        <v>19</v>
      </c>
      <c r="B8" s="47"/>
      <c r="C8" s="6">
        <f>C7*C14</f>
        <v>4.11538e-21</v>
      </c>
      <c r="D8" s="48"/>
    </row>
    <row r="9" spans="1:7">
      <c r="A9" s="49" t="s">
        <v>20</v>
      </c>
      <c r="B9" s="50" t="s">
        <v>21</v>
      </c>
      <c r="C9" s="55">
        <f>C11*C12*1000</f>
        <v>3.612e+23</v>
      </c>
      <c r="D9" s="51" t="s">
        <v>22</v>
      </c>
    </row>
    <row r="10" spans="1:7">
      <c r="A10" s="52"/>
      <c r="B10" s="47" t="s">
        <v>24</v>
      </c>
      <c r="C10" s="47"/>
      <c r="D10" s="48"/>
    </row>
    <row r="11" spans="1:7">
      <c r="A11" s="49"/>
      <c r="B11" s="50" t="s">
        <v>26</v>
      </c>
      <c r="C11" s="55">
        <v>6.02e+23</v>
      </c>
      <c r="D11" s="51"/>
    </row>
    <row r="12" spans="1:7">
      <c r="A12" s="52"/>
      <c r="B12" s="47" t="s">
        <v>28</v>
      </c>
      <c r="C12" s="6">
        <f>0.6/1000</f>
        <v>0.0006</v>
      </c>
      <c r="D12" s="48"/>
    </row>
    <row r="13" spans="1:7">
      <c r="A13" s="49" t="s">
        <v>30</v>
      </c>
      <c r="B13" s="50" t="s">
        <v>31</v>
      </c>
      <c r="C13" s="55">
        <f>66.26/1000/1000/10000</f>
        <v>6.626e-9</v>
      </c>
      <c r="D13" s="51" t="s">
        <v>32</v>
      </c>
    </row>
    <row r="14" spans="1:7">
      <c r="A14" s="52" t="s">
        <v>34</v>
      </c>
      <c r="B14" s="47" t="s">
        <v>35</v>
      </c>
      <c r="C14" s="42">
        <v>298</v>
      </c>
      <c r="D14" s="48" t="s">
        <v>36</v>
      </c>
    </row>
    <row r="15" spans="1:7">
      <c r="A15" s="49" t="s">
        <v>38</v>
      </c>
      <c r="B15" s="50"/>
      <c r="C15" s="53">
        <v>1</v>
      </c>
      <c r="D15" s="51"/>
    </row>
    <row r="16" ht="18.75" customHeight="1" spans="1:7">
      <c r="A16" s="52" t="s">
        <v>39</v>
      </c>
      <c r="B16" s="56" t="s">
        <v>40</v>
      </c>
      <c r="C16" s="57">
        <f>C17*C18</f>
        <v>7.0832e-10</v>
      </c>
      <c r="D16" s="58" t="s">
        <v>41</v>
      </c>
      <c r="E16" s="21"/>
      <c r="F16" s="21"/>
      <c r="G16" s="21"/>
    </row>
    <row r="17" ht="21.75" customHeight="1" spans="1:15">
      <c r="A17" s="49"/>
      <c r="B17" s="59" t="s">
        <v>43</v>
      </c>
      <c r="C17" s="60">
        <v>8.854e-12</v>
      </c>
      <c r="D17" s="61"/>
      <c r="E17" s="21"/>
      <c r="F17" s="21"/>
      <c r="G17" s="21"/>
    </row>
    <row r="18" ht="23.25" customHeight="1" spans="1:15">
      <c r="A18" s="52"/>
      <c r="B18" s="56" t="s">
        <v>45</v>
      </c>
      <c r="C18" s="62">
        <v>80</v>
      </c>
      <c r="D18" s="58"/>
      <c r="E18" s="21"/>
      <c r="F18" s="21"/>
      <c r="G18" s="21"/>
    </row>
    <row r="19" ht="17" spans="1:15">
      <c r="A19" s="49" t="s">
        <v>46</v>
      </c>
      <c r="B19" s="50" t="s">
        <v>47</v>
      </c>
      <c r="C19" s="55">
        <f>1/((4.31*POWER(2*C6,-0.5)/10000000000))</f>
        <v>56832708.6492617</v>
      </c>
      <c r="D19" s="51" t="s">
        <v>48</v>
      </c>
    </row>
    <row r="20" spans="1:15">
      <c r="A20" s="52" t="s">
        <v>50</v>
      </c>
      <c r="B20" s="47"/>
      <c r="C20" s="42">
        <v>3.1416</v>
      </c>
      <c r="D20" s="48"/>
    </row>
    <row r="21" ht="18.75" customHeight="1" spans="1:15">
      <c r="A21" s="49" t="s">
        <v>51</v>
      </c>
      <c r="B21" s="63" t="s">
        <v>52</v>
      </c>
      <c r="C21" s="60">
        <f>-11.38/1000</f>
        <v>-0.01138</v>
      </c>
      <c r="D21" s="64" t="s">
        <v>53</v>
      </c>
      <c r="E21" s="28"/>
      <c r="F21" s="28"/>
      <c r="G21" s="28"/>
    </row>
    <row r="22" ht="17.25" customHeight="1" spans="1:15">
      <c r="A22" s="65" t="s">
        <v>55</v>
      </c>
      <c r="B22" s="66"/>
      <c r="C22" s="67">
        <v>1.6e-19</v>
      </c>
      <c r="D22" s="68"/>
      <c r="E22" s="28"/>
      <c r="F22" s="28"/>
      <c r="G22" s="28"/>
    </row>
    <row r="23" ht="17.25" customHeight="1" spans="1:15">
      <c r="A23" s="28"/>
      <c r="B23" s="28"/>
      <c r="C23" s="28"/>
      <c r="D23" s="28"/>
      <c r="E23" s="28"/>
      <c r="F23" s="28"/>
      <c r="G23" s="28"/>
    </row>
    <row r="24" ht="17.25" customHeight="1" spans="1:15">
      <c r="A24" s="28"/>
      <c r="B24" s="28"/>
      <c r="C24" s="28"/>
      <c r="D24" s="28"/>
      <c r="E24" s="28"/>
      <c r="F24" s="28"/>
      <c r="G24" s="28"/>
    </row>
    <row r="25" ht="20" spans="1:15">
      <c r="A25" s="33"/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62</v>
      </c>
      <c r="I25" s="2" t="s">
        <v>63</v>
      </c>
      <c r="J25" s="2" t="s">
        <v>64</v>
      </c>
      <c r="K25" s="2" t="s">
        <v>65</v>
      </c>
      <c r="L25" s="2" t="s">
        <v>66</v>
      </c>
      <c r="M25" s="2" t="s">
        <v>67</v>
      </c>
      <c r="N25" s="2" t="s">
        <v>68</v>
      </c>
      <c r="O25" s="3"/>
    </row>
    <row r="26" spans="1:15">
      <c r="A26" s="15">
        <v>0.0001</v>
      </c>
      <c r="B26" s="34">
        <v>1e-9</v>
      </c>
      <c r="C26" s="34">
        <f t="shared" ref="C26:C48" si="0">D26/$C$8</f>
        <v>-1.95840942097496</v>
      </c>
      <c r="D26" s="34">
        <f t="shared" ref="D26:D48" si="1">I26-O26</f>
        <v>-8.05959896289193e-21</v>
      </c>
      <c r="E26" s="34">
        <f t="shared" ref="E26:E48" si="2">64*$C$20*$C$9*$C$13*$C$7*$C$14/$C$19/$C$19</f>
        <v>6.13116872906502e-19</v>
      </c>
      <c r="F26" s="34">
        <f t="shared" ref="F26:F48" si="3">EXP(-$C$19*B26)</f>
        <v>0.944752105002916</v>
      </c>
      <c r="G26" s="34">
        <f t="shared" ref="G26:G48" si="4">(EXP($C$15*$C$22*$C$21/2/$C$7/$C$14)-1)/(EXP($C$15*$C$22*$C$21/2/$C$7/$C$14)+1)</f>
        <v>-0.110160584275453</v>
      </c>
      <c r="H26" s="34">
        <f t="shared" ref="H26:H48" si="5">POWER($G26,2)</f>
        <v>0.0121353543279092</v>
      </c>
      <c r="I26" s="34">
        <f t="shared" ref="I26:I48" si="6">$E26*$F26*$H26</f>
        <v>7.02932458421677e-21</v>
      </c>
      <c r="J26" s="34">
        <f t="shared" ref="J26:J48" si="7">$C$4/6</f>
        <v>9.28333333333333e-21</v>
      </c>
      <c r="K26" s="34">
        <f t="shared" ref="K26:K48" si="8">2*$C$13*$C$13/(B26*B26+4*$C$13*B26)</f>
        <v>3.19254479348458</v>
      </c>
      <c r="L26" s="34">
        <f t="shared" ref="L26:L48" si="9">2*$C$13*$C$13/(B26*B26+4*$C$13*B26+4*$C$13*$C$13)</f>
        <v>0.43229601427148</v>
      </c>
      <c r="M26" s="34">
        <f t="shared" ref="M26:M49" si="10">(B26*B26+4*$C$13*B26)/(B26*B26+4*$C$13*B26+4*$C$13*$C$13)</f>
        <v>0.135407971457039</v>
      </c>
      <c r="N26" s="5">
        <f t="shared" ref="N26:N48" si="11">LN(M26)</f>
        <v>-1.99946304684669</v>
      </c>
      <c r="O26" s="35">
        <f t="shared" ref="O26:O48" si="12">J26*(K26+L26+N26)</f>
        <v>1.50889235471087e-20</v>
      </c>
    </row>
    <row r="27" spans="1:15">
      <c r="A27" s="14">
        <v>0.001</v>
      </c>
      <c r="B27" s="36">
        <f t="shared" ref="B27:B48" si="13">A27/1000000000</f>
        <v>1e-12</v>
      </c>
      <c r="C27" s="36">
        <f t="shared" si="0"/>
        <v>-7452.54171376709</v>
      </c>
      <c r="D27" s="36">
        <f t="shared" si="1"/>
        <v>-3.06700411180028e-17</v>
      </c>
      <c r="E27" s="36">
        <f t="shared" si="2"/>
        <v>6.13116872906502e-19</v>
      </c>
      <c r="F27" s="36">
        <f t="shared" si="3"/>
        <v>0.999943168906299</v>
      </c>
      <c r="G27" s="36">
        <f t="shared" si="4"/>
        <v>-0.110160584275453</v>
      </c>
      <c r="H27" s="36">
        <f t="shared" si="5"/>
        <v>0.0121353543279092</v>
      </c>
      <c r="I27" s="36">
        <f t="shared" si="6"/>
        <v>7.43996765161055e-21</v>
      </c>
      <c r="J27" s="36">
        <f t="shared" si="7"/>
        <v>9.28333333333333e-21</v>
      </c>
      <c r="K27" s="36">
        <f t="shared" si="8"/>
        <v>3312.87500471609</v>
      </c>
      <c r="L27" s="36">
        <f t="shared" si="9"/>
        <v>0.49992454823265</v>
      </c>
      <c r="M27" s="36">
        <f t="shared" si="10"/>
        <v>0.000150903534700517</v>
      </c>
      <c r="N27" s="10">
        <f t="shared" si="11"/>
        <v>-8.79886976833945</v>
      </c>
      <c r="O27" s="37">
        <f t="shared" si="12"/>
        <v>3.06774810856544e-17</v>
      </c>
    </row>
    <row r="28" spans="1:15">
      <c r="A28" s="15">
        <v>0.01</v>
      </c>
      <c r="B28" s="34">
        <f t="shared" si="13"/>
        <v>1e-11</v>
      </c>
      <c r="C28" s="34">
        <f t="shared" si="0"/>
        <v>-731.716204094303</v>
      </c>
      <c r="D28" s="34">
        <f t="shared" si="1"/>
        <v>-3.01129023200561e-18</v>
      </c>
      <c r="E28" s="34">
        <f t="shared" si="2"/>
        <v>6.13116872906502e-19</v>
      </c>
      <c r="F28" s="34">
        <f t="shared" si="3"/>
        <v>0.999431834380756</v>
      </c>
      <c r="G28" s="34">
        <f t="shared" si="4"/>
        <v>-0.110160584275453</v>
      </c>
      <c r="H28" s="34">
        <f t="shared" si="5"/>
        <v>0.0121353543279092</v>
      </c>
      <c r="I28" s="34">
        <f t="shared" si="6"/>
        <v>7.43616312306584e-21</v>
      </c>
      <c r="J28" s="34">
        <f t="shared" si="7"/>
        <v>9.28333333333333e-21</v>
      </c>
      <c r="K28" s="34">
        <f t="shared" si="8"/>
        <v>331.175047144905</v>
      </c>
      <c r="L28" s="34">
        <f t="shared" si="9"/>
        <v>0.499246250201358</v>
      </c>
      <c r="M28" s="34">
        <f t="shared" si="10"/>
        <v>0.00150749959728371</v>
      </c>
      <c r="N28" s="5">
        <f t="shared" si="11"/>
        <v>-6.49730289650479</v>
      </c>
      <c r="O28" s="35">
        <f t="shared" si="12"/>
        <v>3.01872639512868e-18</v>
      </c>
    </row>
    <row r="29" spans="1:15">
      <c r="A29" s="14">
        <v>0.1</v>
      </c>
      <c r="B29" s="36">
        <f t="shared" si="13"/>
        <v>1e-10</v>
      </c>
      <c r="C29" s="36">
        <f t="shared" si="0"/>
        <v>-64.2807892275476</v>
      </c>
      <c r="D29" s="36">
        <f t="shared" si="1"/>
        <v>-2.64539874371265e-19</v>
      </c>
      <c r="E29" s="36">
        <f t="shared" si="2"/>
        <v>6.13116872906502e-19</v>
      </c>
      <c r="F29" s="36">
        <f t="shared" si="3"/>
        <v>0.994332848367824</v>
      </c>
      <c r="G29" s="36">
        <f t="shared" si="4"/>
        <v>-0.110160584275453</v>
      </c>
      <c r="H29" s="36">
        <f t="shared" si="5"/>
        <v>0.0121353543279092</v>
      </c>
      <c r="I29" s="36">
        <f t="shared" si="6"/>
        <v>7.39822467599017e-21</v>
      </c>
      <c r="J29" s="36">
        <f t="shared" si="7"/>
        <v>9.28333333333333e-21</v>
      </c>
      <c r="K29" s="36">
        <f t="shared" si="8"/>
        <v>33.0054698541573</v>
      </c>
      <c r="L29" s="36">
        <f t="shared" si="9"/>
        <v>0.492538531735618</v>
      </c>
      <c r="M29" s="36">
        <f t="shared" si="10"/>
        <v>0.0149229365287639</v>
      </c>
      <c r="N29" s="10">
        <f t="shared" si="11"/>
        <v>-4.20485588529094</v>
      </c>
      <c r="O29" s="37">
        <f t="shared" si="12"/>
        <v>2.71938099047255e-19</v>
      </c>
    </row>
    <row r="30" spans="1:15">
      <c r="A30" s="15">
        <v>1</v>
      </c>
      <c r="B30" s="34">
        <f t="shared" si="13"/>
        <v>1e-9</v>
      </c>
      <c r="C30" s="34">
        <f t="shared" si="0"/>
        <v>-1.95840942097496</v>
      </c>
      <c r="D30" s="34">
        <f t="shared" si="1"/>
        <v>-8.05959896289193e-21</v>
      </c>
      <c r="E30" s="34">
        <f t="shared" si="2"/>
        <v>6.13116872906502e-19</v>
      </c>
      <c r="F30" s="34">
        <f t="shared" si="3"/>
        <v>0.944752105002916</v>
      </c>
      <c r="G30" s="34">
        <f t="shared" si="4"/>
        <v>-0.110160584275453</v>
      </c>
      <c r="H30" s="34">
        <f t="shared" si="5"/>
        <v>0.0121353543279092</v>
      </c>
      <c r="I30" s="34">
        <f t="shared" si="6"/>
        <v>7.02932458421677e-21</v>
      </c>
      <c r="J30" s="34">
        <f t="shared" si="7"/>
        <v>9.28333333333333e-21</v>
      </c>
      <c r="K30" s="34">
        <f t="shared" si="8"/>
        <v>3.19254479348458</v>
      </c>
      <c r="L30" s="34">
        <f t="shared" si="9"/>
        <v>0.43229601427148</v>
      </c>
      <c r="M30" s="34">
        <f t="shared" si="10"/>
        <v>0.135407971457039</v>
      </c>
      <c r="N30" s="5">
        <f t="shared" si="11"/>
        <v>-1.99946304684669</v>
      </c>
      <c r="O30" s="35">
        <f t="shared" si="12"/>
        <v>1.50889235471087e-20</v>
      </c>
    </row>
    <row r="31" spans="1:15">
      <c r="A31" s="14">
        <v>2</v>
      </c>
      <c r="B31" s="36">
        <f t="shared" si="13"/>
        <v>2e-9</v>
      </c>
      <c r="C31" s="36">
        <f t="shared" si="0"/>
        <v>0.459852427566712</v>
      </c>
      <c r="D31" s="36">
        <f t="shared" si="1"/>
        <v>1.89246748335949e-21</v>
      </c>
      <c r="E31" s="36">
        <f t="shared" si="2"/>
        <v>6.13116872906502e-19</v>
      </c>
      <c r="F31" s="36">
        <f t="shared" si="3"/>
        <v>0.892556539907441</v>
      </c>
      <c r="G31" s="36">
        <f t="shared" si="4"/>
        <v>-0.110160584275453</v>
      </c>
      <c r="H31" s="36">
        <f t="shared" si="5"/>
        <v>0.0121353543279092</v>
      </c>
      <c r="I31" s="36">
        <f t="shared" si="6"/>
        <v>6.64096919768754e-21</v>
      </c>
      <c r="J31" s="36">
        <f t="shared" si="7"/>
        <v>9.28333333333333e-21</v>
      </c>
      <c r="K31" s="36">
        <f t="shared" si="8"/>
        <v>1.54027069884928</v>
      </c>
      <c r="L31" s="36">
        <f t="shared" si="9"/>
        <v>0.377467239939778</v>
      </c>
      <c r="M31" s="36">
        <f t="shared" si="10"/>
        <v>0.245065520120443</v>
      </c>
      <c r="N31" s="10">
        <f t="shared" si="11"/>
        <v>-1.40622967512715</v>
      </c>
      <c r="O31" s="37">
        <f t="shared" si="12"/>
        <v>4.74850171432805e-21</v>
      </c>
    </row>
    <row r="32" spans="1:15">
      <c r="A32" s="15">
        <v>3</v>
      </c>
      <c r="B32" s="34">
        <f t="shared" si="13"/>
        <v>3e-9</v>
      </c>
      <c r="C32" s="34">
        <f t="shared" si="0"/>
        <v>1.0030219977516</v>
      </c>
      <c r="D32" s="34">
        <f t="shared" si="1"/>
        <v>4.12781666910699e-21</v>
      </c>
      <c r="E32" s="34">
        <f t="shared" si="2"/>
        <v>6.13116872906502e-19</v>
      </c>
      <c r="F32" s="34">
        <f t="shared" si="3"/>
        <v>0.843244669911674</v>
      </c>
      <c r="G32" s="34">
        <f t="shared" si="4"/>
        <v>-0.110160584275453</v>
      </c>
      <c r="H32" s="34">
        <f t="shared" si="5"/>
        <v>0.0121353543279092</v>
      </c>
      <c r="I32" s="34">
        <f t="shared" si="6"/>
        <v>6.27406962877483e-21</v>
      </c>
      <c r="J32" s="34">
        <f t="shared" si="7"/>
        <v>9.28333333333333e-21</v>
      </c>
      <c r="K32" s="34">
        <f t="shared" si="8"/>
        <v>0.992043474331164</v>
      </c>
      <c r="L32" s="34">
        <f t="shared" si="9"/>
        <v>0.332444560563447</v>
      </c>
      <c r="M32" s="34">
        <f t="shared" si="10"/>
        <v>0.335110878873107</v>
      </c>
      <c r="N32" s="5">
        <f t="shared" si="11"/>
        <v>-1.09329382020867</v>
      </c>
      <c r="O32" s="35">
        <f t="shared" si="12"/>
        <v>2.14625295966784e-21</v>
      </c>
    </row>
    <row r="33" spans="1:15">
      <c r="A33" s="14">
        <v>4</v>
      </c>
      <c r="B33" s="36">
        <f t="shared" si="13"/>
        <v>4e-9</v>
      </c>
      <c r="C33" s="36">
        <f t="shared" si="0"/>
        <v>1.16294751332655</v>
      </c>
      <c r="D33" s="36">
        <f t="shared" si="1"/>
        <v>4.7859709373938e-21</v>
      </c>
      <c r="E33" s="36">
        <f t="shared" si="2"/>
        <v>6.13116872906502e-19</v>
      </c>
      <c r="F33" s="36">
        <f t="shared" si="3"/>
        <v>0.796657176931543</v>
      </c>
      <c r="G33" s="36">
        <f t="shared" si="4"/>
        <v>-0.110160584275453</v>
      </c>
      <c r="H33" s="36">
        <f t="shared" si="5"/>
        <v>0.0121353543279092</v>
      </c>
      <c r="I33" s="36">
        <f t="shared" si="6"/>
        <v>5.92744048871989e-21</v>
      </c>
      <c r="J33" s="36">
        <f t="shared" si="7"/>
        <v>9.28333333333333e-21</v>
      </c>
      <c r="K33" s="36">
        <f t="shared" si="8"/>
        <v>0.719641292945188</v>
      </c>
      <c r="L33" s="36">
        <f t="shared" si="9"/>
        <v>0.29502169904702</v>
      </c>
      <c r="M33" s="36">
        <f t="shared" si="10"/>
        <v>0.40995660190596</v>
      </c>
      <c r="N33" s="10">
        <f t="shared" si="11"/>
        <v>-0.89170397389604</v>
      </c>
      <c r="O33" s="37">
        <f t="shared" si="12"/>
        <v>1.14146955132609e-21</v>
      </c>
    </row>
    <row r="34" spans="1:15">
      <c r="A34" s="15">
        <v>5</v>
      </c>
      <c r="B34" s="34">
        <f t="shared" si="13"/>
        <v>5e-9</v>
      </c>
      <c r="C34" s="34">
        <f t="shared" si="0"/>
        <v>1.19827618793017</v>
      </c>
      <c r="D34" s="34">
        <f t="shared" si="1"/>
        <v>4.93136185828405e-21</v>
      </c>
      <c r="E34" s="34">
        <f t="shared" si="2"/>
        <v>6.13116872906502e-19</v>
      </c>
      <c r="F34" s="34">
        <f t="shared" si="3"/>
        <v>0.752643544871756</v>
      </c>
      <c r="G34" s="34">
        <f t="shared" si="4"/>
        <v>-0.110160584275453</v>
      </c>
      <c r="H34" s="34">
        <f t="shared" si="5"/>
        <v>0.0121353543279092</v>
      </c>
      <c r="I34" s="34">
        <f t="shared" si="6"/>
        <v>5.59996187899763e-21</v>
      </c>
      <c r="J34" s="34">
        <f t="shared" si="7"/>
        <v>9.28333333333333e-21</v>
      </c>
      <c r="K34" s="34">
        <f t="shared" si="8"/>
        <v>0.55743875063484</v>
      </c>
      <c r="L34" s="34">
        <f t="shared" si="9"/>
        <v>0.263579687381505</v>
      </c>
      <c r="M34" s="34">
        <f t="shared" si="10"/>
        <v>0.472840625236991</v>
      </c>
      <c r="N34" s="5">
        <f t="shared" si="11"/>
        <v>-0.748996891799442</v>
      </c>
      <c r="O34" s="35">
        <f t="shared" si="12"/>
        <v>6.68600020713578e-22</v>
      </c>
    </row>
    <row r="35" spans="1:15">
      <c r="A35" s="14">
        <v>6</v>
      </c>
      <c r="B35" s="36">
        <f t="shared" si="13"/>
        <v>6e-9</v>
      </c>
      <c r="C35" s="36">
        <f t="shared" si="0"/>
        <v>1.18395713755512</v>
      </c>
      <c r="D35" s="36">
        <f t="shared" si="1"/>
        <v>4.8724335247516e-21</v>
      </c>
      <c r="E35" s="36">
        <f t="shared" si="2"/>
        <v>6.13116872906502e-19</v>
      </c>
      <c r="F35" s="36">
        <f t="shared" si="3"/>
        <v>0.711061573334448</v>
      </c>
      <c r="G35" s="36">
        <f t="shared" si="4"/>
        <v>-0.110160584275453</v>
      </c>
      <c r="H35" s="36">
        <f t="shared" si="5"/>
        <v>0.0121353543279092</v>
      </c>
      <c r="I35" s="36">
        <f t="shared" si="6"/>
        <v>5.29057577311909e-21</v>
      </c>
      <c r="J35" s="36">
        <f t="shared" si="7"/>
        <v>9.28333333333333e-21</v>
      </c>
      <c r="K35" s="36">
        <f t="shared" si="8"/>
        <v>0.450240749856428</v>
      </c>
      <c r="L35" s="36">
        <f t="shared" si="9"/>
        <v>0.236908778077795</v>
      </c>
      <c r="M35" s="36">
        <f t="shared" si="10"/>
        <v>0.52618244384441</v>
      </c>
      <c r="N35" s="10">
        <f t="shared" si="11"/>
        <v>-0.642107274968245</v>
      </c>
      <c r="O35" s="37">
        <f t="shared" si="12"/>
        <v>4.18142248367492e-22</v>
      </c>
    </row>
    <row r="36" spans="1:15">
      <c r="A36" s="15">
        <v>7</v>
      </c>
      <c r="B36" s="34">
        <f t="shared" si="13"/>
        <v>7e-9</v>
      </c>
      <c r="C36" s="34">
        <f t="shared" si="0"/>
        <v>1.14785645691013</v>
      </c>
      <c r="D36" s="34">
        <f t="shared" si="1"/>
        <v>4.72386550563882e-21</v>
      </c>
      <c r="E36" s="34">
        <f t="shared" si="2"/>
        <v>6.13116872906502e-19</v>
      </c>
      <c r="F36" s="34">
        <f t="shared" si="3"/>
        <v>0.671776918194405</v>
      </c>
      <c r="G36" s="34">
        <f t="shared" si="4"/>
        <v>-0.110160584275453</v>
      </c>
      <c r="H36" s="34">
        <f t="shared" si="5"/>
        <v>0.0121353543279092</v>
      </c>
      <c r="I36" s="34">
        <f t="shared" si="6"/>
        <v>4.99828259833169e-21</v>
      </c>
      <c r="J36" s="34">
        <f t="shared" si="7"/>
        <v>9.28333333333333e-21</v>
      </c>
      <c r="K36" s="34">
        <f t="shared" si="8"/>
        <v>0.374401998908446</v>
      </c>
      <c r="L36" s="34">
        <f t="shared" si="9"/>
        <v>0.214090315081523</v>
      </c>
      <c r="M36" s="34">
        <f t="shared" si="10"/>
        <v>0.571819369836953</v>
      </c>
      <c r="N36" s="5">
        <f t="shared" si="11"/>
        <v>-0.558932124471886</v>
      </c>
      <c r="O36" s="35">
        <f t="shared" si="12"/>
        <v>2.74417092692874e-22</v>
      </c>
    </row>
    <row r="37" spans="1:15">
      <c r="A37" s="14">
        <v>8</v>
      </c>
      <c r="B37" s="36">
        <f t="shared" si="13"/>
        <v>8e-9</v>
      </c>
      <c r="C37" s="36">
        <f t="shared" si="0"/>
        <v>1.10200898220149</v>
      </c>
      <c r="D37" s="36">
        <f t="shared" si="1"/>
        <v>4.53518572517236e-21</v>
      </c>
      <c r="E37" s="36">
        <f t="shared" si="2"/>
        <v>6.13116872906502e-19</v>
      </c>
      <c r="F37" s="36">
        <f t="shared" si="3"/>
        <v>0.634662657556536</v>
      </c>
      <c r="G37" s="36">
        <f t="shared" si="4"/>
        <v>-0.110160584275453</v>
      </c>
      <c r="H37" s="36">
        <f t="shared" si="5"/>
        <v>0.0121353543279092</v>
      </c>
      <c r="I37" s="36">
        <f t="shared" si="6"/>
        <v>4.72213800617331e-21</v>
      </c>
      <c r="J37" s="36">
        <f t="shared" si="7"/>
        <v>9.28333333333333e-21</v>
      </c>
      <c r="K37" s="36">
        <f t="shared" si="8"/>
        <v>0.31810714699745</v>
      </c>
      <c r="L37" s="36">
        <f t="shared" si="9"/>
        <v>0.194416555438331</v>
      </c>
      <c r="M37" s="36">
        <f t="shared" si="10"/>
        <v>0.611166889123337</v>
      </c>
      <c r="N37" s="10">
        <f t="shared" si="11"/>
        <v>-0.492385216152016</v>
      </c>
      <c r="O37" s="37">
        <f t="shared" si="12"/>
        <v>1.86952281000955e-22</v>
      </c>
    </row>
    <row r="38" spans="1:15">
      <c r="A38" s="15">
        <v>9</v>
      </c>
      <c r="B38" s="34">
        <f t="shared" si="13"/>
        <v>9e-9</v>
      </c>
      <c r="C38" s="34">
        <f t="shared" si="0"/>
        <v>1.05214904195924</v>
      </c>
      <c r="D38" s="34">
        <f t="shared" si="1"/>
        <v>4.32999312429821e-21</v>
      </c>
      <c r="E38" s="34">
        <f t="shared" si="2"/>
        <v>6.13116872906502e-19</v>
      </c>
      <c r="F38" s="34">
        <f t="shared" si="3"/>
        <v>0.599598881693282</v>
      </c>
      <c r="G38" s="34">
        <f t="shared" si="4"/>
        <v>-0.110160584275453</v>
      </c>
      <c r="H38" s="34">
        <f t="shared" si="5"/>
        <v>0.0121353543279092</v>
      </c>
      <c r="I38" s="34">
        <f t="shared" si="6"/>
        <v>4.46124982144651e-21</v>
      </c>
      <c r="J38" s="34">
        <f t="shared" si="7"/>
        <v>9.28333333333333e-21</v>
      </c>
      <c r="K38" s="34">
        <f t="shared" si="8"/>
        <v>0.274797681638376</v>
      </c>
      <c r="L38" s="34">
        <f t="shared" si="9"/>
        <v>0.177335121252101</v>
      </c>
      <c r="M38" s="34">
        <f t="shared" si="10"/>
        <v>0.645329757495799</v>
      </c>
      <c r="N38" s="5">
        <f t="shared" si="11"/>
        <v>-0.437993840899636</v>
      </c>
      <c r="O38" s="35">
        <f t="shared" si="12"/>
        <v>1.31256697148299e-22</v>
      </c>
    </row>
    <row r="39" spans="1:15">
      <c r="A39" s="14">
        <v>10</v>
      </c>
      <c r="B39" s="36">
        <f t="shared" si="13"/>
        <v>1e-8</v>
      </c>
      <c r="C39" s="36">
        <f t="shared" si="0"/>
        <v>1.00119460918435</v>
      </c>
      <c r="D39" s="36">
        <f t="shared" si="1"/>
        <v>4.12029627074508e-21</v>
      </c>
      <c r="E39" s="36">
        <f t="shared" si="2"/>
        <v>6.13116872906502e-19</v>
      </c>
      <c r="F39" s="36">
        <f t="shared" si="3"/>
        <v>0.566472305637123</v>
      </c>
      <c r="G39" s="36">
        <f t="shared" si="4"/>
        <v>-0.110160584275453</v>
      </c>
      <c r="H39" s="36">
        <f t="shared" si="5"/>
        <v>0.0121353543279092</v>
      </c>
      <c r="I39" s="36">
        <f t="shared" si="6"/>
        <v>4.21477515975547e-21</v>
      </c>
      <c r="J39" s="36">
        <f t="shared" si="7"/>
        <v>9.28333333333333e-21</v>
      </c>
      <c r="K39" s="36">
        <f t="shared" si="8"/>
        <v>0.240542822704361</v>
      </c>
      <c r="L39" s="36">
        <f t="shared" si="9"/>
        <v>0.16240979949406</v>
      </c>
      <c r="M39" s="36">
        <f t="shared" si="10"/>
        <v>0.67518040101188</v>
      </c>
      <c r="N39" s="10">
        <f t="shared" si="11"/>
        <v>-0.392775363059061</v>
      </c>
      <c r="O39" s="37">
        <f t="shared" si="12"/>
        <v>9.44788890103927e-23</v>
      </c>
    </row>
    <row r="40" spans="1:15">
      <c r="A40" s="15">
        <v>20</v>
      </c>
      <c r="B40" s="34">
        <f t="shared" si="13"/>
        <v>2e-8</v>
      </c>
      <c r="C40" s="34">
        <f t="shared" si="0"/>
        <v>0.578205658750842</v>
      </c>
      <c r="D40" s="34">
        <f t="shared" si="1"/>
        <v>2.37953600391004e-21</v>
      </c>
      <c r="E40" s="34">
        <f t="shared" si="2"/>
        <v>6.13116872906502e-19</v>
      </c>
      <c r="F40" s="34">
        <f t="shared" si="3"/>
        <v>0.320890873053838</v>
      </c>
      <c r="G40" s="34">
        <f t="shared" si="4"/>
        <v>-0.110160584275453</v>
      </c>
      <c r="H40" s="34">
        <f t="shared" si="5"/>
        <v>0.0121353543279092</v>
      </c>
      <c r="I40" s="34">
        <f t="shared" si="6"/>
        <v>2.38755340248876e-21</v>
      </c>
      <c r="J40" s="34">
        <f t="shared" si="7"/>
        <v>9.28333333333333e-21</v>
      </c>
      <c r="K40" s="34">
        <f t="shared" si="8"/>
        <v>0.0944088164458971</v>
      </c>
      <c r="L40" s="34">
        <f t="shared" si="9"/>
        <v>0.0794140445378894</v>
      </c>
      <c r="M40" s="34">
        <f t="shared" si="10"/>
        <v>0.841171910924221</v>
      </c>
      <c r="N40" s="5">
        <f t="shared" si="11"/>
        <v>-0.172959227384643</v>
      </c>
      <c r="O40" s="35">
        <f t="shared" si="12"/>
        <v>8.01739857871718e-24</v>
      </c>
    </row>
    <row r="41" spans="1:15">
      <c r="A41" s="14">
        <v>30</v>
      </c>
      <c r="B41" s="36">
        <f t="shared" si="13"/>
        <v>3e-8</v>
      </c>
      <c r="C41" s="36">
        <f t="shared" si="0"/>
        <v>0.328280742582378</v>
      </c>
      <c r="D41" s="36">
        <f t="shared" si="1"/>
        <v>1.35100000240867e-21</v>
      </c>
      <c r="E41" s="36">
        <f t="shared" si="2"/>
        <v>6.13116872906502e-19</v>
      </c>
      <c r="F41" s="36">
        <f t="shared" si="3"/>
        <v>0.181775792716717</v>
      </c>
      <c r="G41" s="36">
        <f t="shared" si="4"/>
        <v>-0.110160584275453</v>
      </c>
      <c r="H41" s="36">
        <f t="shared" si="5"/>
        <v>0.0121353543279092</v>
      </c>
      <c r="I41" s="36">
        <f t="shared" si="6"/>
        <v>1.35248288073956e-21</v>
      </c>
      <c r="J41" s="36">
        <f t="shared" si="7"/>
        <v>9.28333333333333e-21</v>
      </c>
      <c r="K41" s="36">
        <f t="shared" si="8"/>
        <v>0.0518003162018028</v>
      </c>
      <c r="L41" s="36">
        <f t="shared" si="9"/>
        <v>0.0469375557433158</v>
      </c>
      <c r="M41" s="36">
        <f t="shared" si="10"/>
        <v>0.906124888513368</v>
      </c>
      <c r="N41" s="10">
        <f t="shared" si="11"/>
        <v>-0.0985781363978048</v>
      </c>
      <c r="O41" s="37">
        <f t="shared" si="12"/>
        <v>1.48287833089695e-24</v>
      </c>
    </row>
    <row r="42" spans="1:15">
      <c r="A42" s="15">
        <v>40</v>
      </c>
      <c r="B42" s="34">
        <f t="shared" si="13"/>
        <v>4e-8</v>
      </c>
      <c r="C42" s="34">
        <f t="shared" si="0"/>
        <v>0.186067814687298</v>
      </c>
      <c r="D42" s="34">
        <f t="shared" si="1"/>
        <v>7.65739763207814e-22</v>
      </c>
      <c r="E42" s="34">
        <f t="shared" si="2"/>
        <v>6.13116872906502e-19</v>
      </c>
      <c r="F42" s="34">
        <f t="shared" si="3"/>
        <v>0.102970952409254</v>
      </c>
      <c r="G42" s="34">
        <f t="shared" si="4"/>
        <v>-0.110160584275453</v>
      </c>
      <c r="H42" s="34">
        <f t="shared" si="5"/>
        <v>0.0121353543279092</v>
      </c>
      <c r="I42" s="34">
        <f t="shared" si="6"/>
        <v>7.66144095787276e-22</v>
      </c>
      <c r="J42" s="34">
        <f t="shared" si="7"/>
        <v>9.28333333333333e-21</v>
      </c>
      <c r="K42" s="34">
        <f t="shared" si="8"/>
        <v>0.0330084476121737</v>
      </c>
      <c r="L42" s="34">
        <f t="shared" si="9"/>
        <v>0.0309642818608677</v>
      </c>
      <c r="M42" s="34">
        <f t="shared" si="10"/>
        <v>0.938071436278265</v>
      </c>
      <c r="N42" s="5">
        <f t="shared" si="11"/>
        <v>-0.0639291747966182</v>
      </c>
      <c r="O42" s="35">
        <f t="shared" si="12"/>
        <v>4.04332579461878e-25</v>
      </c>
    </row>
    <row r="43" spans="1:15">
      <c r="A43" s="14">
        <v>50</v>
      </c>
      <c r="B43" s="36">
        <f t="shared" si="13"/>
        <v>5e-8</v>
      </c>
      <c r="C43" s="36">
        <f t="shared" si="0"/>
        <v>0.105423912932296</v>
      </c>
      <c r="D43" s="36">
        <f t="shared" si="1"/>
        <v>4.33859462803311e-22</v>
      </c>
      <c r="E43" s="36">
        <f t="shared" si="2"/>
        <v>6.13116872906502e-19</v>
      </c>
      <c r="F43" s="36">
        <f t="shared" si="3"/>
        <v>0.0583301928249208</v>
      </c>
      <c r="G43" s="36">
        <f t="shared" si="4"/>
        <v>-0.110160584275453</v>
      </c>
      <c r="H43" s="36">
        <f t="shared" si="5"/>
        <v>0.0121353543279092</v>
      </c>
      <c r="I43" s="36">
        <f t="shared" si="6"/>
        <v>4.33999412390888e-22</v>
      </c>
      <c r="J43" s="36">
        <f t="shared" si="7"/>
        <v>9.28333333333333e-21</v>
      </c>
      <c r="K43" s="36">
        <f t="shared" si="8"/>
        <v>0.0229550747673324</v>
      </c>
      <c r="L43" s="36">
        <f t="shared" si="9"/>
        <v>0.0219474634389439</v>
      </c>
      <c r="M43" s="36">
        <f t="shared" si="10"/>
        <v>0.956105073122112</v>
      </c>
      <c r="N43" s="10">
        <f t="shared" si="11"/>
        <v>-0.0448874628467527</v>
      </c>
      <c r="O43" s="37">
        <f t="shared" si="12"/>
        <v>1.39949587577951e-25</v>
      </c>
    </row>
    <row r="44" spans="1:15">
      <c r="A44" s="15">
        <v>60</v>
      </c>
      <c r="B44" s="34">
        <f t="shared" si="13"/>
        <v>6e-8</v>
      </c>
      <c r="C44" s="34">
        <f t="shared" si="0"/>
        <v>0.0597251373809586</v>
      </c>
      <c r="D44" s="34">
        <f t="shared" si="1"/>
        <v>2.4579163587485e-22</v>
      </c>
      <c r="E44" s="34">
        <f t="shared" si="2"/>
        <v>6.13116872906502e-19</v>
      </c>
      <c r="F44" s="34">
        <f t="shared" si="3"/>
        <v>0.0330424388177908</v>
      </c>
      <c r="G44" s="34">
        <f t="shared" si="4"/>
        <v>-0.110160584275453</v>
      </c>
      <c r="H44" s="34">
        <f t="shared" si="5"/>
        <v>0.0121353543279092</v>
      </c>
      <c r="I44" s="34">
        <f t="shared" si="6"/>
        <v>2.45848647782223e-22</v>
      </c>
      <c r="J44" s="34">
        <f t="shared" si="7"/>
        <v>9.28333333333333e-21</v>
      </c>
      <c r="K44" s="34">
        <f t="shared" si="8"/>
        <v>0.0169178596750825</v>
      </c>
      <c r="L44" s="34">
        <f t="shared" si="9"/>
        <v>0.0163641663355533</v>
      </c>
      <c r="M44" s="34">
        <f t="shared" si="10"/>
        <v>0.967271667328893</v>
      </c>
      <c r="N44" s="5">
        <f t="shared" si="11"/>
        <v>-0.0332758846920677</v>
      </c>
      <c r="O44" s="35">
        <f t="shared" si="12"/>
        <v>5.70119073732512e-26</v>
      </c>
    </row>
    <row r="45" spans="1:15">
      <c r="A45" s="14">
        <v>70</v>
      </c>
      <c r="B45" s="36">
        <f t="shared" si="13"/>
        <v>7e-8</v>
      </c>
      <c r="C45" s="36">
        <f t="shared" si="0"/>
        <v>0.0338341281685144</v>
      </c>
      <c r="D45" s="36">
        <f t="shared" si="1"/>
        <v>1.39240294382141e-22</v>
      </c>
      <c r="E45" s="36">
        <f t="shared" si="2"/>
        <v>6.13116872906502e-19</v>
      </c>
      <c r="F45" s="36">
        <f t="shared" si="3"/>
        <v>0.0187176265009875</v>
      </c>
      <c r="G45" s="36">
        <f t="shared" si="4"/>
        <v>-0.110160584275453</v>
      </c>
      <c r="H45" s="36">
        <f t="shared" si="5"/>
        <v>0.0121353543279092</v>
      </c>
      <c r="I45" s="36">
        <f t="shared" si="6"/>
        <v>1.39266450346965e-22</v>
      </c>
      <c r="J45" s="36">
        <f t="shared" si="7"/>
        <v>9.28333333333333e-21</v>
      </c>
      <c r="K45" s="36">
        <f t="shared" si="8"/>
        <v>0.0129983882237302</v>
      </c>
      <c r="L45" s="36">
        <f t="shared" si="9"/>
        <v>0.0126690341744907</v>
      </c>
      <c r="M45" s="36">
        <f t="shared" si="10"/>
        <v>0.974661931651019</v>
      </c>
      <c r="N45" s="10">
        <f t="shared" si="11"/>
        <v>-0.0256646048795684</v>
      </c>
      <c r="O45" s="37">
        <f t="shared" si="12"/>
        <v>2.615596482367e-26</v>
      </c>
    </row>
    <row r="46" spans="1:15">
      <c r="A46" s="15">
        <v>80</v>
      </c>
      <c r="B46" s="34">
        <f t="shared" si="13"/>
        <v>8e-8</v>
      </c>
      <c r="C46" s="34">
        <f t="shared" si="0"/>
        <v>0.0191665041897094</v>
      </c>
      <c r="D46" s="34">
        <f t="shared" si="1"/>
        <v>7.88774480122464e-23</v>
      </c>
      <c r="E46" s="34">
        <f t="shared" si="2"/>
        <v>6.13116872906502e-19</v>
      </c>
      <c r="F46" s="34">
        <f t="shared" si="3"/>
        <v>0.0106030170400689</v>
      </c>
      <c r="G46" s="34">
        <f t="shared" si="4"/>
        <v>-0.110160584275453</v>
      </c>
      <c r="H46" s="34">
        <f t="shared" si="5"/>
        <v>0.0121353543279092</v>
      </c>
      <c r="I46" s="34">
        <f t="shared" si="6"/>
        <v>7.88905872259429e-23</v>
      </c>
      <c r="J46" s="34">
        <f t="shared" si="7"/>
        <v>9.28333333333333e-21</v>
      </c>
      <c r="K46" s="34">
        <f t="shared" si="8"/>
        <v>0.0103056871103433</v>
      </c>
      <c r="L46" s="34">
        <f t="shared" si="9"/>
        <v>0.0100975624715259</v>
      </c>
      <c r="M46" s="34">
        <f t="shared" si="10"/>
        <v>0.979804875056948</v>
      </c>
      <c r="N46" s="5">
        <f t="shared" si="11"/>
        <v>-0.0204018342267134</v>
      </c>
      <c r="O46" s="35">
        <f t="shared" si="12"/>
        <v>1.31392136964883e-26</v>
      </c>
    </row>
    <row r="47" spans="1:15">
      <c r="A47" s="14">
        <v>90</v>
      </c>
      <c r="B47" s="36">
        <f t="shared" si="13"/>
        <v>9e-8</v>
      </c>
      <c r="C47" s="36">
        <f t="shared" si="0"/>
        <v>0.0108573795334286</v>
      </c>
      <c r="D47" s="36">
        <f t="shared" si="1"/>
        <v>4.46822425842816e-23</v>
      </c>
      <c r="E47" s="36">
        <f t="shared" si="2"/>
        <v>6.13116872906502e-19</v>
      </c>
      <c r="F47" s="36">
        <f t="shared" si="3"/>
        <v>0.00600631550939755</v>
      </c>
      <c r="G47" s="36">
        <f t="shared" si="4"/>
        <v>-0.110160584275453</v>
      </c>
      <c r="H47" s="36">
        <f t="shared" si="5"/>
        <v>0.0121353543279092</v>
      </c>
      <c r="I47" s="36">
        <f t="shared" si="6"/>
        <v>4.46893328389465e-23</v>
      </c>
      <c r="J47" s="36">
        <f t="shared" si="7"/>
        <v>9.28333333333333e-21</v>
      </c>
      <c r="K47" s="36">
        <f t="shared" si="8"/>
        <v>0.00837431924130407</v>
      </c>
      <c r="L47" s="36">
        <f t="shared" si="9"/>
        <v>0.00823637123704623</v>
      </c>
      <c r="M47" s="36">
        <f t="shared" si="10"/>
        <v>0.983527257525908</v>
      </c>
      <c r="N47" s="10">
        <f t="shared" si="11"/>
        <v>-0.016609926716627</v>
      </c>
      <c r="O47" s="37">
        <f t="shared" si="12"/>
        <v>7.09025466495584e-27</v>
      </c>
    </row>
    <row r="48" spans="1:15">
      <c r="A48" s="15">
        <v>100</v>
      </c>
      <c r="B48" s="34">
        <f t="shared" si="13"/>
        <v>1e-7</v>
      </c>
      <c r="C48" s="34">
        <f t="shared" si="0"/>
        <v>0.00615039555904978</v>
      </c>
      <c r="D48" s="34">
        <f t="shared" si="1"/>
        <v>2.53112148758023e-23</v>
      </c>
      <c r="E48" s="34">
        <f t="shared" si="2"/>
        <v>6.13116872906502e-19</v>
      </c>
      <c r="F48" s="34">
        <f t="shared" si="3"/>
        <v>0.00340241139499244</v>
      </c>
      <c r="G48" s="34">
        <f t="shared" si="4"/>
        <v>-0.110160584275453</v>
      </c>
      <c r="H48" s="34">
        <f t="shared" si="5"/>
        <v>0.0121353543279092</v>
      </c>
      <c r="I48" s="34">
        <f t="shared" si="6"/>
        <v>2.53152694106628e-23</v>
      </c>
      <c r="J48" s="34">
        <f t="shared" si="7"/>
        <v>9.28333333333333e-21</v>
      </c>
      <c r="K48" s="34">
        <f t="shared" si="8"/>
        <v>0.00694110478720041</v>
      </c>
      <c r="L48" s="34">
        <f t="shared" si="9"/>
        <v>0.00684606626061038</v>
      </c>
      <c r="M48" s="34">
        <f t="shared" si="10"/>
        <v>0.986307867478779</v>
      </c>
      <c r="N48" s="5">
        <f t="shared" si="11"/>
        <v>-0.0137867342936068</v>
      </c>
      <c r="O48" s="35">
        <f t="shared" si="12"/>
        <v>4.05453486057097e-27</v>
      </c>
    </row>
    <row r="49" spans="1:15">
      <c r="A49" s="38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9">
        <f t="shared" si="10"/>
        <v>0</v>
      </c>
      <c r="N49" s="40"/>
      <c r="O49" s="41"/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zoomScale="85" zoomScaleNormal="85" topLeftCell="A22" workbookViewId="0">
      <selection activeCell="A25" sqref="A25:O49"/>
    </sheetView>
  </sheetViews>
  <sheetFormatPr defaultColWidth="9.10576923076923" defaultRowHeight="16.8"/>
  <cols>
    <col min="2" max="2" width="36" customWidth="1"/>
    <col min="3" max="3" width="12" customWidth="1"/>
    <col min="4" max="4" width="9.44230769230769" customWidth="1"/>
    <col min="5" max="5" width="22.7788461538462" customWidth="1"/>
    <col min="6" max="6" width="12.5576923076923" customWidth="1"/>
    <col min="7" max="7" width="12" customWidth="1"/>
    <col min="8" max="8" width="26.1057692307692" customWidth="1"/>
    <col min="9" max="9" width="31.7788461538462" customWidth="1"/>
    <col min="10" max="10" width="9.23076923076923"/>
    <col min="11" max="11" width="13.1057692307692" customWidth="1"/>
    <col min="12" max="12" width="16" customWidth="1"/>
    <col min="13" max="13" width="10"/>
    <col min="14" max="14" width="14.0769230769231"/>
    <col min="15" max="15" width="9.23076923076923"/>
  </cols>
  <sheetData>
    <row r="1" spans="1:7">
      <c r="A1" s="43"/>
      <c r="B1" s="44" t="s">
        <v>72</v>
      </c>
      <c r="C1" s="44"/>
      <c r="D1" s="45"/>
    </row>
    <row r="2" spans="1:7">
      <c r="A2" s="46"/>
      <c r="B2" s="47"/>
      <c r="C2" s="47"/>
      <c r="D2" s="48"/>
    </row>
    <row r="3" spans="1:7">
      <c r="A3" s="49" t="s">
        <v>0</v>
      </c>
      <c r="B3" s="50" t="s">
        <v>1</v>
      </c>
      <c r="C3" s="50" t="s">
        <v>2</v>
      </c>
      <c r="D3" s="51" t="s">
        <v>3</v>
      </c>
      <c r="E3" t="s">
        <v>70</v>
      </c>
    </row>
    <row r="4" spans="1:7">
      <c r="A4" s="52" t="s">
        <v>5</v>
      </c>
      <c r="B4" s="47" t="s">
        <v>6</v>
      </c>
      <c r="C4" s="6">
        <v>5.57e-20</v>
      </c>
      <c r="D4" s="48" t="s">
        <v>7</v>
      </c>
      <c r="G4" s="8"/>
    </row>
    <row r="5" spans="1:7">
      <c r="A5" s="49" t="s">
        <v>9</v>
      </c>
      <c r="B5" s="50" t="s">
        <v>10</v>
      </c>
      <c r="C5" s="53">
        <v>0.003</v>
      </c>
      <c r="D5" s="51"/>
      <c r="G5" s="8"/>
    </row>
    <row r="6" spans="1:7">
      <c r="A6" s="52" t="s">
        <v>12</v>
      </c>
      <c r="B6" s="47" t="s">
        <v>13</v>
      </c>
      <c r="C6" s="6">
        <v>0.003</v>
      </c>
      <c r="D6" s="48"/>
      <c r="G6" s="8"/>
    </row>
    <row r="7" ht="20" spans="1:7">
      <c r="A7" s="54" t="s">
        <v>15</v>
      </c>
      <c r="B7" s="50" t="s">
        <v>16</v>
      </c>
      <c r="C7" s="55">
        <v>1.381e-23</v>
      </c>
      <c r="D7" s="51" t="s">
        <v>71</v>
      </c>
    </row>
    <row r="8" ht="20" spans="1:7">
      <c r="A8" s="46" t="s">
        <v>19</v>
      </c>
      <c r="B8" s="47"/>
      <c r="C8" s="6">
        <f>C7*C14</f>
        <v>4.11538e-21</v>
      </c>
      <c r="D8" s="48"/>
    </row>
    <row r="9" spans="1:7">
      <c r="A9" s="49" t="s">
        <v>20</v>
      </c>
      <c r="B9" s="50" t="s">
        <v>21</v>
      </c>
      <c r="C9" s="55">
        <f>C11*C12*1000</f>
        <v>3.612e+24</v>
      </c>
      <c r="D9" s="51" t="s">
        <v>22</v>
      </c>
    </row>
    <row r="10" spans="1:7">
      <c r="A10" s="52"/>
      <c r="B10" s="47" t="s">
        <v>24</v>
      </c>
      <c r="C10" s="47"/>
      <c r="D10" s="48"/>
    </row>
    <row r="11" spans="1:7">
      <c r="A11" s="49"/>
      <c r="B11" s="50" t="s">
        <v>26</v>
      </c>
      <c r="C11" s="55">
        <v>6.02e+23</v>
      </c>
      <c r="D11" s="51"/>
    </row>
    <row r="12" spans="1:7">
      <c r="A12" s="52"/>
      <c r="B12" s="47" t="s">
        <v>28</v>
      </c>
      <c r="C12" s="6">
        <f>2*C5</f>
        <v>0.006</v>
      </c>
      <c r="D12" s="48"/>
    </row>
    <row r="13" spans="1:7">
      <c r="A13" s="49" t="s">
        <v>30</v>
      </c>
      <c r="B13" s="50" t="s">
        <v>31</v>
      </c>
      <c r="C13" s="55">
        <f>56.7/1000000000</f>
        <v>5.67e-8</v>
      </c>
      <c r="D13" s="51" t="s">
        <v>32</v>
      </c>
    </row>
    <row r="14" spans="1:7">
      <c r="A14" s="52" t="s">
        <v>34</v>
      </c>
      <c r="B14" s="47" t="s">
        <v>35</v>
      </c>
      <c r="C14" s="42">
        <v>298</v>
      </c>
      <c r="D14" s="48" t="s">
        <v>36</v>
      </c>
    </row>
    <row r="15" spans="1:7">
      <c r="A15" s="49" t="s">
        <v>38</v>
      </c>
      <c r="B15" s="50"/>
      <c r="C15" s="53">
        <v>1</v>
      </c>
      <c r="D15" s="51"/>
    </row>
    <row r="16" ht="18.75" customHeight="1" spans="1:7">
      <c r="A16" s="52" t="s">
        <v>39</v>
      </c>
      <c r="B16" s="56" t="s">
        <v>40</v>
      </c>
      <c r="C16" s="57">
        <f>C17*C18</f>
        <v>7.0832e-10</v>
      </c>
      <c r="D16" s="58" t="s">
        <v>41</v>
      </c>
      <c r="E16" s="21"/>
      <c r="F16" s="21"/>
      <c r="G16" s="21"/>
    </row>
    <row r="17" ht="21.75" customHeight="1" spans="1:15">
      <c r="A17" s="49"/>
      <c r="B17" s="59" t="s">
        <v>43</v>
      </c>
      <c r="C17" s="60">
        <v>8.854e-12</v>
      </c>
      <c r="D17" s="61"/>
      <c r="E17" s="21"/>
      <c r="F17" s="21"/>
      <c r="G17" s="21"/>
    </row>
    <row r="18" ht="23.25" customHeight="1" spans="1:15">
      <c r="A18" s="52"/>
      <c r="B18" s="56" t="s">
        <v>45</v>
      </c>
      <c r="C18" s="62">
        <v>80</v>
      </c>
      <c r="D18" s="58"/>
      <c r="E18" s="21"/>
      <c r="F18" s="21"/>
      <c r="G18" s="21"/>
    </row>
    <row r="19" ht="17" spans="1:15">
      <c r="A19" s="49" t="s">
        <v>46</v>
      </c>
      <c r="B19" s="50" t="s">
        <v>47</v>
      </c>
      <c r="C19" s="55">
        <f>1/((4.31*POWER(2*C6,-0.5)/10000000000))</f>
        <v>179720804.928418</v>
      </c>
      <c r="D19" s="51" t="s">
        <v>48</v>
      </c>
    </row>
    <row r="20" spans="1:15">
      <c r="A20" s="52" t="s">
        <v>50</v>
      </c>
      <c r="B20" s="47"/>
      <c r="C20" s="42">
        <v>3.1416</v>
      </c>
      <c r="D20" s="48"/>
    </row>
    <row r="21" ht="18.75" customHeight="1" spans="1:15">
      <c r="A21" s="49" t="s">
        <v>51</v>
      </c>
      <c r="B21" s="63" t="s">
        <v>52</v>
      </c>
      <c r="C21" s="60">
        <f>-12.83/1000</f>
        <v>-0.01283</v>
      </c>
      <c r="D21" s="64" t="s">
        <v>53</v>
      </c>
      <c r="E21" s="28"/>
      <c r="F21" s="28"/>
      <c r="G21" s="28"/>
    </row>
    <row r="22" ht="17.25" customHeight="1" spans="1:15">
      <c r="A22" s="65" t="s">
        <v>55</v>
      </c>
      <c r="B22" s="66"/>
      <c r="C22" s="67">
        <v>1.6e-19</v>
      </c>
      <c r="D22" s="68"/>
      <c r="E22" s="28"/>
      <c r="F22" s="28"/>
      <c r="G22" s="28"/>
    </row>
    <row r="23" ht="17.25" customHeight="1" spans="1:15">
      <c r="A23" s="28"/>
      <c r="B23" s="28"/>
      <c r="C23" s="28"/>
      <c r="D23" s="28"/>
      <c r="E23" s="28"/>
      <c r="F23" s="28"/>
      <c r="G23" s="28"/>
    </row>
    <row r="24" ht="17.25" customHeight="1" spans="1:15">
      <c r="A24" s="28"/>
      <c r="B24" s="28"/>
      <c r="C24" s="28"/>
      <c r="D24" s="28"/>
      <c r="E24" s="28"/>
      <c r="F24" s="28"/>
      <c r="G24" s="28"/>
    </row>
    <row r="25" ht="20" spans="1:15">
      <c r="A25" s="33"/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62</v>
      </c>
      <c r="I25" s="2" t="s">
        <v>63</v>
      </c>
      <c r="J25" s="2" t="s">
        <v>64</v>
      </c>
      <c r="K25" s="2" t="s">
        <v>65</v>
      </c>
      <c r="L25" s="2" t="s">
        <v>66</v>
      </c>
      <c r="M25" s="2" t="s">
        <v>67</v>
      </c>
      <c r="N25" s="2" t="s">
        <v>68</v>
      </c>
      <c r="O25" s="3"/>
    </row>
    <row r="26" spans="1:15">
      <c r="A26" s="15">
        <v>0.0001</v>
      </c>
      <c r="B26" s="34">
        <v>1e-9</v>
      </c>
      <c r="C26" s="34">
        <f t="shared" ref="C26:C48" si="0">D26/$C$8</f>
        <v>-39.2466881201519</v>
      </c>
      <c r="D26" s="34">
        <f t="shared" ref="D26:D48" si="1">I26-O26</f>
        <v>-1.61515035355911e-19</v>
      </c>
      <c r="E26" s="34">
        <f t="shared" ref="E26:E48" si="2">64*$C$20*$C$9*$C$13*$C$7*$C$14/$C$19/$C$19</f>
        <v>5.24656303860532e-18</v>
      </c>
      <c r="F26" s="34">
        <f t="shared" ref="F26:F48" si="3">EXP(-$C$19*B26)</f>
        <v>0.835503447295377</v>
      </c>
      <c r="G26" s="34">
        <f t="shared" ref="G26:G48" si="4">(EXP($C$15*$C$22*$C$21/2/$C$7/$C$14)-1)/(EXP($C$15*$C$22*$C$21/2/$C$7/$C$14)+1)</f>
        <v>-0.124060528150333</v>
      </c>
      <c r="H26" s="34">
        <f t="shared" ref="H26:H48" si="5">POWER($G26,2)</f>
        <v>0.0153910146449396</v>
      </c>
      <c r="I26" s="34">
        <f t="shared" ref="I26:I48" si="6">$E26*$F26*$H26</f>
        <v>6.74668436830524e-20</v>
      </c>
      <c r="J26" s="34">
        <f t="shared" ref="J26:J48" si="7">$C$4/6</f>
        <v>9.28333333333333e-21</v>
      </c>
      <c r="K26" s="34">
        <f t="shared" ref="K26:K48" si="8">2*$C$13*$C$13/(B26*B26+4*$C$13*B26)</f>
        <v>28.2255487269535</v>
      </c>
      <c r="L26" s="34">
        <f t="shared" ref="L26:L48" si="9">2*$C$13*$C$13/(B26*B26+4*$C$13*B26+4*$C$13*$C$13)</f>
        <v>0.491296946060932</v>
      </c>
      <c r="M26" s="34">
        <f t="shared" ref="M26:M49" si="10">(B26*B26+4*$C$13*B26)/(B26*B26+4*$C$13*B26+4*$C$13*$C$13)</f>
        <v>0.0174061078781359</v>
      </c>
      <c r="N26" s="5">
        <f t="shared" ref="N26:N48" si="11">LN(M26)</f>
        <v>-4.05093410687831</v>
      </c>
      <c r="O26" s="35">
        <f t="shared" ref="O26:O48" si="12">J26*(K26+L26+N26)</f>
        <v>2.28981879038963e-19</v>
      </c>
    </row>
    <row r="27" spans="1:15">
      <c r="A27" s="14">
        <v>0.001</v>
      </c>
      <c r="B27" s="36">
        <f t="shared" ref="B27:B48" si="13">A27/1000000000</f>
        <v>1e-12</v>
      </c>
      <c r="C27" s="36">
        <f t="shared" si="0"/>
        <v>-63907.4969101933</v>
      </c>
      <c r="D27" s="36">
        <f t="shared" si="1"/>
        <v>-2.63003634634271e-16</v>
      </c>
      <c r="E27" s="36">
        <f t="shared" si="2"/>
        <v>5.24656303860532e-18</v>
      </c>
      <c r="F27" s="36">
        <f t="shared" si="3"/>
        <v>0.999820295343888</v>
      </c>
      <c r="G27" s="36">
        <f t="shared" si="4"/>
        <v>-0.124060528150333</v>
      </c>
      <c r="H27" s="36">
        <f t="shared" si="5"/>
        <v>0.0153910146449396</v>
      </c>
      <c r="I27" s="36">
        <f t="shared" si="6"/>
        <v>8.07354174246297e-20</v>
      </c>
      <c r="J27" s="36">
        <f t="shared" si="7"/>
        <v>9.28333333333333e-21</v>
      </c>
      <c r="K27" s="36">
        <f t="shared" si="8"/>
        <v>28349.8750005511</v>
      </c>
      <c r="L27" s="36">
        <f t="shared" si="9"/>
        <v>0.499991181774492</v>
      </c>
      <c r="M27" s="36">
        <f t="shared" si="10"/>
        <v>1.7636451016619e-5</v>
      </c>
      <c r="N27" s="10">
        <f t="shared" si="11"/>
        <v>-10.945542717161</v>
      </c>
      <c r="O27" s="37">
        <f t="shared" si="12"/>
        <v>2.63084370051696e-16</v>
      </c>
    </row>
    <row r="28" spans="1:15">
      <c r="A28" s="15">
        <v>0.01</v>
      </c>
      <c r="B28" s="34">
        <f t="shared" si="13"/>
        <v>1e-11</v>
      </c>
      <c r="C28" s="34">
        <f t="shared" si="0"/>
        <v>-6356.85865860626</v>
      </c>
      <c r="D28" s="34">
        <f t="shared" si="1"/>
        <v>-2.6160888986455e-17</v>
      </c>
      <c r="E28" s="34">
        <f t="shared" si="2"/>
        <v>5.24656303860532e-18</v>
      </c>
      <c r="F28" s="34">
        <f t="shared" si="3"/>
        <v>0.998204405962053</v>
      </c>
      <c r="G28" s="34">
        <f t="shared" si="4"/>
        <v>-0.124060528150333</v>
      </c>
      <c r="H28" s="34">
        <f t="shared" si="5"/>
        <v>0.0153910146449396</v>
      </c>
      <c r="I28" s="34">
        <f t="shared" si="6"/>
        <v>8.06049344724812e-20</v>
      </c>
      <c r="J28" s="34">
        <f t="shared" si="7"/>
        <v>9.28333333333333e-21</v>
      </c>
      <c r="K28" s="34">
        <f t="shared" si="8"/>
        <v>2834.87500551122</v>
      </c>
      <c r="L28" s="34">
        <f t="shared" si="9"/>
        <v>0.499911828241586</v>
      </c>
      <c r="M28" s="34">
        <f t="shared" si="10"/>
        <v>0.000176343516828685</v>
      </c>
      <c r="N28" s="5">
        <f t="shared" si="11"/>
        <v>-8.64307666505023</v>
      </c>
      <c r="O28" s="35">
        <f t="shared" si="12"/>
        <v>2.62414939209275e-17</v>
      </c>
    </row>
    <row r="29" spans="1:15">
      <c r="A29" s="14">
        <v>0.1</v>
      </c>
      <c r="B29" s="36">
        <f t="shared" si="13"/>
        <v>1e-10</v>
      </c>
      <c r="C29" s="36">
        <f t="shared" si="0"/>
        <v>-606.77628706638</v>
      </c>
      <c r="D29" s="36">
        <f t="shared" si="1"/>
        <v>-2.49711499626724e-18</v>
      </c>
      <c r="E29" s="36">
        <f t="shared" si="2"/>
        <v>5.24656303860532e-18</v>
      </c>
      <c r="F29" s="36">
        <f t="shared" si="3"/>
        <v>0.982188454193074</v>
      </c>
      <c r="G29" s="36">
        <f t="shared" si="4"/>
        <v>-0.124060528150333</v>
      </c>
      <c r="H29" s="36">
        <f t="shared" si="5"/>
        <v>0.0153910146449396</v>
      </c>
      <c r="I29" s="36">
        <f t="shared" si="6"/>
        <v>7.93116475112713e-20</v>
      </c>
      <c r="J29" s="36">
        <f t="shared" si="7"/>
        <v>9.28333333333333e-21</v>
      </c>
      <c r="K29" s="36">
        <f t="shared" si="8"/>
        <v>283.375055090348</v>
      </c>
      <c r="L29" s="36">
        <f t="shared" si="9"/>
        <v>0.499119330862233</v>
      </c>
      <c r="M29" s="36">
        <f t="shared" si="10"/>
        <v>0.00176133827553417</v>
      </c>
      <c r="N29" s="10">
        <f t="shared" si="11"/>
        <v>-6.34168137505116</v>
      </c>
      <c r="O29" s="37">
        <f t="shared" si="12"/>
        <v>2.57642664377851e-18</v>
      </c>
    </row>
    <row r="30" spans="1:15">
      <c r="A30" s="15">
        <v>1</v>
      </c>
      <c r="B30" s="34">
        <f t="shared" si="13"/>
        <v>1e-9</v>
      </c>
      <c r="C30" s="34">
        <f t="shared" si="0"/>
        <v>-39.2466881201519</v>
      </c>
      <c r="D30" s="34">
        <f t="shared" si="1"/>
        <v>-1.61515035355911e-19</v>
      </c>
      <c r="E30" s="34">
        <f t="shared" si="2"/>
        <v>5.24656303860532e-18</v>
      </c>
      <c r="F30" s="34">
        <f t="shared" si="3"/>
        <v>0.835503447295377</v>
      </c>
      <c r="G30" s="34">
        <f t="shared" si="4"/>
        <v>-0.124060528150333</v>
      </c>
      <c r="H30" s="34">
        <f t="shared" si="5"/>
        <v>0.0153910146449396</v>
      </c>
      <c r="I30" s="34">
        <f t="shared" si="6"/>
        <v>6.74668436830524e-20</v>
      </c>
      <c r="J30" s="34">
        <f t="shared" si="7"/>
        <v>9.28333333333333e-21</v>
      </c>
      <c r="K30" s="34">
        <f t="shared" si="8"/>
        <v>28.2255487269535</v>
      </c>
      <c r="L30" s="34">
        <f t="shared" si="9"/>
        <v>0.491296946060932</v>
      </c>
      <c r="M30" s="34">
        <f t="shared" si="10"/>
        <v>0.0174061078781359</v>
      </c>
      <c r="N30" s="5">
        <f t="shared" si="11"/>
        <v>-4.05093410687831</v>
      </c>
      <c r="O30" s="35">
        <f t="shared" si="12"/>
        <v>2.28981879038963e-19</v>
      </c>
    </row>
    <row r="31" spans="1:15">
      <c r="A31" s="14">
        <v>2</v>
      </c>
      <c r="B31" s="36">
        <f t="shared" si="13"/>
        <v>2e-9</v>
      </c>
      <c r="C31" s="36">
        <f t="shared" si="0"/>
        <v>-11.4842333847588</v>
      </c>
      <c r="D31" s="36">
        <f t="shared" si="1"/>
        <v>-4.72619843869685e-20</v>
      </c>
      <c r="E31" s="36">
        <f t="shared" si="2"/>
        <v>5.24656303860532e-18</v>
      </c>
      <c r="F31" s="36">
        <f t="shared" si="3"/>
        <v>0.698066010442458</v>
      </c>
      <c r="G31" s="36">
        <f t="shared" si="4"/>
        <v>-0.124060528150333</v>
      </c>
      <c r="H31" s="36">
        <f t="shared" si="5"/>
        <v>0.0153910146449396</v>
      </c>
      <c r="I31" s="36">
        <f t="shared" si="6"/>
        <v>5.63687804753285e-20</v>
      </c>
      <c r="J31" s="36">
        <f t="shared" si="7"/>
        <v>9.28333333333333e-21</v>
      </c>
      <c r="K31" s="36">
        <f t="shared" si="8"/>
        <v>14.0510926573427</v>
      </c>
      <c r="L31" s="36">
        <f t="shared" si="9"/>
        <v>0.482819159640644</v>
      </c>
      <c r="M31" s="36">
        <f t="shared" si="10"/>
        <v>0.0343616807187118</v>
      </c>
      <c r="N31" s="10">
        <f t="shared" si="11"/>
        <v>-3.37081326808241</v>
      </c>
      <c r="O31" s="37">
        <f t="shared" si="12"/>
        <v>1.03630764862297e-19</v>
      </c>
    </row>
    <row r="32" spans="1:15">
      <c r="A32" s="15">
        <v>3</v>
      </c>
      <c r="B32" s="34">
        <f t="shared" si="13"/>
        <v>3e-9</v>
      </c>
      <c r="C32" s="34">
        <f t="shared" si="0"/>
        <v>-3.94699501540106</v>
      </c>
      <c r="D32" s="34">
        <f t="shared" si="1"/>
        <v>-1.62433843464812e-20</v>
      </c>
      <c r="E32" s="34">
        <f t="shared" si="2"/>
        <v>5.24656303860532e-18</v>
      </c>
      <c r="F32" s="34">
        <f t="shared" si="3"/>
        <v>0.583236558164404</v>
      </c>
      <c r="G32" s="34">
        <f t="shared" si="4"/>
        <v>-0.124060528150333</v>
      </c>
      <c r="H32" s="34">
        <f t="shared" si="5"/>
        <v>0.0153910146449396</v>
      </c>
      <c r="I32" s="34">
        <f t="shared" si="6"/>
        <v>4.70963104069733e-20</v>
      </c>
      <c r="J32" s="34">
        <f t="shared" si="7"/>
        <v>9.28333333333333e-21</v>
      </c>
      <c r="K32" s="34">
        <f t="shared" si="8"/>
        <v>9.3266318537859</v>
      </c>
      <c r="L32" s="34">
        <f t="shared" si="9"/>
        <v>0.47455893293655</v>
      </c>
      <c r="M32" s="34">
        <f t="shared" si="10"/>
        <v>0.0508821341268998</v>
      </c>
      <c r="N32" s="5">
        <f t="shared" si="11"/>
        <v>-2.97824341651191</v>
      </c>
      <c r="O32" s="35">
        <f t="shared" si="12"/>
        <v>6.33396947534545e-20</v>
      </c>
    </row>
    <row r="33" spans="1:15">
      <c r="A33" s="14">
        <v>4</v>
      </c>
      <c r="B33" s="36">
        <f t="shared" si="13"/>
        <v>4e-9</v>
      </c>
      <c r="C33" s="36">
        <f t="shared" si="0"/>
        <v>-1.10343471116745</v>
      </c>
      <c r="D33" s="36">
        <f t="shared" si="1"/>
        <v>-4.54105314164428e-21</v>
      </c>
      <c r="E33" s="36">
        <f t="shared" si="2"/>
        <v>5.24656303860532e-18</v>
      </c>
      <c r="F33" s="36">
        <f t="shared" si="3"/>
        <v>0.48729615493505</v>
      </c>
      <c r="G33" s="36">
        <f t="shared" si="4"/>
        <v>-0.124060528150333</v>
      </c>
      <c r="H33" s="36">
        <f t="shared" si="5"/>
        <v>0.0153910146449396</v>
      </c>
      <c r="I33" s="36">
        <f t="shared" si="6"/>
        <v>3.93491296999193e-20</v>
      </c>
      <c r="J33" s="36">
        <f t="shared" si="7"/>
        <v>9.28333333333333e-21</v>
      </c>
      <c r="K33" s="36">
        <f t="shared" si="8"/>
        <v>6.96466637781629</v>
      </c>
      <c r="L33" s="36">
        <f t="shared" si="9"/>
        <v>0.466508885012871</v>
      </c>
      <c r="M33" s="36">
        <f t="shared" si="10"/>
        <v>0.0669822299742577</v>
      </c>
      <c r="N33" s="10">
        <f t="shared" si="11"/>
        <v>-2.70332791903416</v>
      </c>
      <c r="O33" s="37">
        <f t="shared" si="12"/>
        <v>4.38901828415636e-20</v>
      </c>
    </row>
    <row r="34" spans="1:15">
      <c r="A34" s="15">
        <v>5</v>
      </c>
      <c r="B34" s="34">
        <f t="shared" si="13"/>
        <v>5e-9</v>
      </c>
      <c r="C34" s="34">
        <f t="shared" si="0"/>
        <v>0.0629418457803781</v>
      </c>
      <c r="D34" s="34">
        <f t="shared" si="1"/>
        <v>2.59029613287652e-22</v>
      </c>
      <c r="E34" s="34">
        <f t="shared" si="2"/>
        <v>5.24656303860532e-18</v>
      </c>
      <c r="F34" s="34">
        <f t="shared" si="3"/>
        <v>0.407137617302016</v>
      </c>
      <c r="G34" s="34">
        <f t="shared" si="4"/>
        <v>-0.124060528150333</v>
      </c>
      <c r="H34" s="34">
        <f t="shared" si="5"/>
        <v>0.0153910146449396</v>
      </c>
      <c r="I34" s="34">
        <f t="shared" si="6"/>
        <v>3.28763335123555e-20</v>
      </c>
      <c r="J34" s="34">
        <f t="shared" si="7"/>
        <v>9.28333333333333e-21</v>
      </c>
      <c r="K34" s="34">
        <f t="shared" si="8"/>
        <v>5.54769628990509</v>
      </c>
      <c r="L34" s="34">
        <f t="shared" si="9"/>
        <v>0.458661945306793</v>
      </c>
      <c r="M34" s="34">
        <f t="shared" si="10"/>
        <v>0.0826761093864134</v>
      </c>
      <c r="N34" s="5">
        <f t="shared" si="11"/>
        <v>-2.49282460156006</v>
      </c>
      <c r="O34" s="35">
        <f t="shared" si="12"/>
        <v>3.26173038990678e-20</v>
      </c>
    </row>
    <row r="35" spans="1:15">
      <c r="A35" s="14">
        <v>6</v>
      </c>
      <c r="B35" s="36">
        <f t="shared" si="13"/>
        <v>6e-9</v>
      </c>
      <c r="C35" s="36">
        <f t="shared" si="0"/>
        <v>0.513566704785315</v>
      </c>
      <c r="D35" s="36">
        <f t="shared" si="1"/>
        <v>2.11352214553939e-21</v>
      </c>
      <c r="E35" s="36">
        <f t="shared" si="2"/>
        <v>5.24656303860532e-18</v>
      </c>
      <c r="F35" s="36">
        <f t="shared" si="3"/>
        <v>0.34016488277946</v>
      </c>
      <c r="G35" s="36">
        <f t="shared" si="4"/>
        <v>-0.124060528150333</v>
      </c>
      <c r="H35" s="36">
        <f t="shared" si="5"/>
        <v>0.0153910146449396</v>
      </c>
      <c r="I35" s="36">
        <f t="shared" si="6"/>
        <v>2.74682899840055e-20</v>
      </c>
      <c r="J35" s="36">
        <f t="shared" si="7"/>
        <v>9.28333333333333e-21</v>
      </c>
      <c r="K35" s="36">
        <f t="shared" si="8"/>
        <v>4.60322164948454</v>
      </c>
      <c r="L35" s="36">
        <f t="shared" si="9"/>
        <v>0.451011338097523</v>
      </c>
      <c r="M35" s="36">
        <f t="shared" si="10"/>
        <v>0.0979773238049544</v>
      </c>
      <c r="N35" s="10">
        <f t="shared" si="11"/>
        <v>-2.32301921683167</v>
      </c>
      <c r="O35" s="37">
        <f t="shared" si="12"/>
        <v>2.53547678384661e-20</v>
      </c>
    </row>
    <row r="36" spans="1:15">
      <c r="A36" s="15">
        <v>7</v>
      </c>
      <c r="B36" s="34">
        <f t="shared" si="13"/>
        <v>7e-9</v>
      </c>
      <c r="C36" s="34">
        <f t="shared" si="0"/>
        <v>0.634154596160377</v>
      </c>
      <c r="D36" s="34">
        <f t="shared" si="1"/>
        <v>2.60978714194649e-21</v>
      </c>
      <c r="E36" s="34">
        <f t="shared" si="2"/>
        <v>5.24656303860532e-18</v>
      </c>
      <c r="F36" s="34">
        <f t="shared" si="3"/>
        <v>0.284208932211067</v>
      </c>
      <c r="G36" s="34">
        <f t="shared" si="4"/>
        <v>-0.124060528150333</v>
      </c>
      <c r="H36" s="34">
        <f t="shared" si="5"/>
        <v>0.0153910146449396</v>
      </c>
      <c r="I36" s="34">
        <f t="shared" si="6"/>
        <v>2.29498509729457e-20</v>
      </c>
      <c r="J36" s="34">
        <f t="shared" si="7"/>
        <v>9.28333333333333e-21</v>
      </c>
      <c r="K36" s="34">
        <f t="shared" si="8"/>
        <v>3.92874251497006</v>
      </c>
      <c r="L36" s="34">
        <f t="shared" si="9"/>
        <v>0.443550567874527</v>
      </c>
      <c r="M36" s="34">
        <f t="shared" si="10"/>
        <v>0.112898864250946</v>
      </c>
      <c r="N36" s="5">
        <f t="shared" si="11"/>
        <v>-2.18126286765616</v>
      </c>
      <c r="O36" s="35">
        <f t="shared" si="12"/>
        <v>2.03400638309992e-20</v>
      </c>
    </row>
    <row r="37" spans="1:15">
      <c r="A37" s="14">
        <v>8</v>
      </c>
      <c r="B37" s="36">
        <f t="shared" si="13"/>
        <v>8e-9</v>
      </c>
      <c r="C37" s="36">
        <f t="shared" si="0"/>
        <v>0.600527455041488</v>
      </c>
      <c r="D37" s="36">
        <f t="shared" si="1"/>
        <v>2.47139867792864e-21</v>
      </c>
      <c r="E37" s="36">
        <f t="shared" si="2"/>
        <v>5.24656303860532e-18</v>
      </c>
      <c r="F37" s="36">
        <f t="shared" si="3"/>
        <v>0.237457542614484</v>
      </c>
      <c r="G37" s="36">
        <f t="shared" si="4"/>
        <v>-0.124060528150333</v>
      </c>
      <c r="H37" s="36">
        <f t="shared" si="5"/>
        <v>0.0153910146449396</v>
      </c>
      <c r="I37" s="36">
        <f t="shared" si="6"/>
        <v>1.91746796028112e-20</v>
      </c>
      <c r="J37" s="36">
        <f t="shared" si="7"/>
        <v>9.28333333333333e-21</v>
      </c>
      <c r="K37" s="36">
        <f t="shared" si="8"/>
        <v>3.42300894378194</v>
      </c>
      <c r="L37" s="36">
        <f t="shared" si="9"/>
        <v>0.436273405545951</v>
      </c>
      <c r="M37" s="36">
        <f t="shared" si="10"/>
        <v>0.127453188908099</v>
      </c>
      <c r="N37" s="10">
        <f t="shared" si="11"/>
        <v>-2.06000612761702</v>
      </c>
      <c r="O37" s="37">
        <f t="shared" si="12"/>
        <v>1.67032809248826e-20</v>
      </c>
    </row>
    <row r="38" spans="1:15">
      <c r="A38" s="15">
        <v>9</v>
      </c>
      <c r="B38" s="34">
        <f t="shared" si="13"/>
        <v>9e-9</v>
      </c>
      <c r="C38" s="34">
        <f t="shared" si="0"/>
        <v>0.498893259307456</v>
      </c>
      <c r="D38" s="34">
        <f t="shared" si="1"/>
        <v>2.05313534148872e-21</v>
      </c>
      <c r="E38" s="34">
        <f t="shared" si="2"/>
        <v>5.24656303860532e-18</v>
      </c>
      <c r="F38" s="34">
        <f t="shared" si="3"/>
        <v>0.19839659544069</v>
      </c>
      <c r="G38" s="34">
        <f t="shared" si="4"/>
        <v>-0.124060528150333</v>
      </c>
      <c r="H38" s="34">
        <f t="shared" si="5"/>
        <v>0.0153910146449396</v>
      </c>
      <c r="I38" s="34">
        <f t="shared" si="6"/>
        <v>1.60205109089331e-20</v>
      </c>
      <c r="J38" s="34">
        <f t="shared" si="7"/>
        <v>9.28333333333333e-21</v>
      </c>
      <c r="K38" s="34">
        <f t="shared" si="8"/>
        <v>3.02977099236641</v>
      </c>
      <c r="L38" s="34">
        <f t="shared" si="9"/>
        <v>0.429173875432526</v>
      </c>
      <c r="M38" s="34">
        <f t="shared" si="10"/>
        <v>0.141652249134948</v>
      </c>
      <c r="N38" s="5">
        <f t="shared" si="11"/>
        <v>-1.95438017471696</v>
      </c>
      <c r="O38" s="35">
        <f t="shared" si="12"/>
        <v>1.39673755674444e-20</v>
      </c>
    </row>
    <row r="39" spans="1:15">
      <c r="A39" s="14">
        <v>10</v>
      </c>
      <c r="B39" s="36">
        <f t="shared" si="13"/>
        <v>1e-8</v>
      </c>
      <c r="C39" s="36">
        <f t="shared" si="0"/>
        <v>0.373077037172395</v>
      </c>
      <c r="D39" s="36">
        <f t="shared" si="1"/>
        <v>1.53535377723853e-21</v>
      </c>
      <c r="E39" s="36">
        <f t="shared" si="2"/>
        <v>5.24656303860532e-18</v>
      </c>
      <c r="F39" s="36">
        <f t="shared" si="3"/>
        <v>0.165761039422363</v>
      </c>
      <c r="G39" s="36">
        <f t="shared" si="4"/>
        <v>-0.124060528150333</v>
      </c>
      <c r="H39" s="36">
        <f t="shared" si="5"/>
        <v>0.0153910146449396</v>
      </c>
      <c r="I39" s="36">
        <f t="shared" si="6"/>
        <v>1.33851920918468e-20</v>
      </c>
      <c r="J39" s="36">
        <f t="shared" si="7"/>
        <v>9.28333333333333e-21</v>
      </c>
      <c r="K39" s="36">
        <f t="shared" si="8"/>
        <v>2.71527871621622</v>
      </c>
      <c r="L39" s="36">
        <f t="shared" si="9"/>
        <v>0.422246242996252</v>
      </c>
      <c r="M39" s="36">
        <f t="shared" si="10"/>
        <v>0.155507514007497</v>
      </c>
      <c r="N39" s="10">
        <f t="shared" si="11"/>
        <v>-1.86106122693868</v>
      </c>
      <c r="O39" s="37">
        <f t="shared" si="12"/>
        <v>1.18498383146083e-20</v>
      </c>
    </row>
    <row r="40" spans="1:15">
      <c r="A40" s="15">
        <v>20</v>
      </c>
      <c r="B40" s="34">
        <f t="shared" si="13"/>
        <v>2e-8</v>
      </c>
      <c r="C40" s="34">
        <f t="shared" si="0"/>
        <v>-0.321552202075668</v>
      </c>
      <c r="D40" s="34">
        <f t="shared" si="1"/>
        <v>-1.32330950137816e-21</v>
      </c>
      <c r="E40" s="34">
        <f t="shared" si="2"/>
        <v>5.24656303860532e-18</v>
      </c>
      <c r="F40" s="34">
        <f t="shared" si="3"/>
        <v>0.0274767221903822</v>
      </c>
      <c r="G40" s="34">
        <f t="shared" si="4"/>
        <v>-0.124060528150333</v>
      </c>
      <c r="H40" s="34">
        <f t="shared" si="5"/>
        <v>0.0153910146449396</v>
      </c>
      <c r="I40" s="34">
        <f t="shared" si="6"/>
        <v>2.21874335401253e-21</v>
      </c>
      <c r="J40" s="34">
        <f t="shared" si="7"/>
        <v>9.28333333333333e-21</v>
      </c>
      <c r="K40" s="34">
        <f t="shared" si="8"/>
        <v>1.30262965964344</v>
      </c>
      <c r="L40" s="34">
        <f t="shared" si="9"/>
        <v>0.361313720950619</v>
      </c>
      <c r="M40" s="34">
        <f t="shared" si="10"/>
        <v>0.277372558098762</v>
      </c>
      <c r="N40" s="5">
        <f t="shared" si="11"/>
        <v>-1.28239370137782</v>
      </c>
      <c r="O40" s="35">
        <f t="shared" si="12"/>
        <v>3.54205285539069e-21</v>
      </c>
    </row>
    <row r="41" spans="1:15">
      <c r="A41" s="14">
        <v>30</v>
      </c>
      <c r="B41" s="36">
        <f t="shared" si="13"/>
        <v>3e-8</v>
      </c>
      <c r="C41" s="36">
        <f t="shared" si="0"/>
        <v>-0.283962303897308</v>
      </c>
      <c r="D41" s="36">
        <f t="shared" si="1"/>
        <v>-1.1686127862129e-21</v>
      </c>
      <c r="E41" s="36">
        <f t="shared" si="2"/>
        <v>5.24656303860532e-18</v>
      </c>
      <c r="F41" s="36">
        <f t="shared" si="3"/>
        <v>0.00455457003019726</v>
      </c>
      <c r="G41" s="36">
        <f t="shared" si="4"/>
        <v>-0.124060528150333</v>
      </c>
      <c r="H41" s="36">
        <f t="shared" si="5"/>
        <v>0.0153910146449396</v>
      </c>
      <c r="I41" s="36">
        <f t="shared" si="6"/>
        <v>3.67781204572576e-22</v>
      </c>
      <c r="J41" s="36">
        <f t="shared" si="7"/>
        <v>9.28333333333333e-21</v>
      </c>
      <c r="K41" s="36">
        <f t="shared" si="8"/>
        <v>0.834602803738318</v>
      </c>
      <c r="L41" s="36">
        <f t="shared" si="9"/>
        <v>0.312678349468672</v>
      </c>
      <c r="M41" s="36">
        <f t="shared" si="10"/>
        <v>0.374643301062656</v>
      </c>
      <c r="N41" s="10">
        <f t="shared" si="11"/>
        <v>-0.981780902853079</v>
      </c>
      <c r="O41" s="37">
        <f t="shared" si="12"/>
        <v>1.53639399078548e-21</v>
      </c>
    </row>
    <row r="42" spans="1:15">
      <c r="A42" s="15">
        <v>40</v>
      </c>
      <c r="B42" s="34">
        <f t="shared" si="13"/>
        <v>4e-8</v>
      </c>
      <c r="C42" s="34">
        <f t="shared" si="0"/>
        <v>-0.176954239465207</v>
      </c>
      <c r="D42" s="34">
        <f t="shared" si="1"/>
        <v>-7.28233938010323e-22</v>
      </c>
      <c r="E42" s="34">
        <f t="shared" si="2"/>
        <v>5.24656303860532e-18</v>
      </c>
      <c r="F42" s="34">
        <f t="shared" si="3"/>
        <v>0.000754970262327441</v>
      </c>
      <c r="G42" s="34">
        <f t="shared" si="4"/>
        <v>-0.124060528150333</v>
      </c>
      <c r="H42" s="34">
        <f t="shared" si="5"/>
        <v>0.0153910146449396</v>
      </c>
      <c r="I42" s="34">
        <f t="shared" si="6"/>
        <v>6.0963794749959e-23</v>
      </c>
      <c r="J42" s="34">
        <f t="shared" si="7"/>
        <v>9.28333333333333e-21</v>
      </c>
      <c r="K42" s="34">
        <f t="shared" si="8"/>
        <v>0.602490629685157</v>
      </c>
      <c r="L42" s="34">
        <f t="shared" si="9"/>
        <v>0.273240703123805</v>
      </c>
      <c r="M42" s="34">
        <f t="shared" si="10"/>
        <v>0.45351859375239</v>
      </c>
      <c r="N42" s="5">
        <f t="shared" si="11"/>
        <v>-0.790719009710907</v>
      </c>
      <c r="O42" s="35">
        <f t="shared" si="12"/>
        <v>7.89197732760282e-22</v>
      </c>
    </row>
    <row r="43" spans="1:15">
      <c r="A43" s="14">
        <v>50</v>
      </c>
      <c r="B43" s="36">
        <f t="shared" si="13"/>
        <v>5e-8</v>
      </c>
      <c r="C43" s="36">
        <f t="shared" si="0"/>
        <v>-0.106531894285837</v>
      </c>
      <c r="D43" s="36">
        <f t="shared" si="1"/>
        <v>-4.38419227106048e-22</v>
      </c>
      <c r="E43" s="36">
        <f t="shared" si="2"/>
        <v>5.24656303860532e-18</v>
      </c>
      <c r="F43" s="36">
        <f t="shared" si="3"/>
        <v>0.000125144655416371</v>
      </c>
      <c r="G43" s="36">
        <f t="shared" si="4"/>
        <v>-0.124060528150333</v>
      </c>
      <c r="H43" s="36">
        <f t="shared" si="5"/>
        <v>0.0153910146449396</v>
      </c>
      <c r="I43" s="36">
        <f t="shared" si="6"/>
        <v>1.01054219848848e-23</v>
      </c>
      <c r="J43" s="36">
        <f t="shared" si="7"/>
        <v>9.28333333333333e-21</v>
      </c>
      <c r="K43" s="36">
        <f t="shared" si="8"/>
        <v>0.464579479768786</v>
      </c>
      <c r="L43" s="36">
        <f t="shared" si="9"/>
        <v>0.240819698901405</v>
      </c>
      <c r="M43" s="36">
        <f t="shared" si="10"/>
        <v>0.51836060219719</v>
      </c>
      <c r="N43" s="10">
        <f t="shared" si="11"/>
        <v>-0.657084135680145</v>
      </c>
      <c r="O43" s="37">
        <f t="shared" si="12"/>
        <v>4.48524649090933e-22</v>
      </c>
    </row>
    <row r="44" spans="1:15">
      <c r="A44" s="15">
        <v>60</v>
      </c>
      <c r="B44" s="34">
        <f t="shared" si="13"/>
        <v>6e-8</v>
      </c>
      <c r="C44" s="34">
        <f t="shared" si="0"/>
        <v>-0.0659634458920651</v>
      </c>
      <c r="D44" s="34">
        <f t="shared" si="1"/>
        <v>-2.71464645955287e-22</v>
      </c>
      <c r="E44" s="34">
        <f t="shared" si="2"/>
        <v>5.24656303860532e-18</v>
      </c>
      <c r="F44" s="34">
        <f t="shared" si="3"/>
        <v>2.07441081599711e-5</v>
      </c>
      <c r="G44" s="34">
        <f t="shared" si="4"/>
        <v>-0.124060528150333</v>
      </c>
      <c r="H44" s="34">
        <f t="shared" si="5"/>
        <v>0.0153910146449396</v>
      </c>
      <c r="I44" s="34">
        <f t="shared" si="6"/>
        <v>1.67508525201611e-24</v>
      </c>
      <c r="J44" s="34">
        <f t="shared" si="7"/>
        <v>9.28333333333333e-21</v>
      </c>
      <c r="K44" s="34">
        <f t="shared" si="8"/>
        <v>0.373650627615063</v>
      </c>
      <c r="L44" s="34">
        <f t="shared" si="9"/>
        <v>0.213844422360843</v>
      </c>
      <c r="M44" s="34">
        <f t="shared" si="10"/>
        <v>0.572311155278313</v>
      </c>
      <c r="N44" s="5">
        <f t="shared" si="11"/>
        <v>-0.558072457745317</v>
      </c>
      <c r="O44" s="35">
        <f t="shared" si="12"/>
        <v>2.73139731207303e-22</v>
      </c>
    </row>
    <row r="45" spans="1:15">
      <c r="A45" s="14">
        <v>70</v>
      </c>
      <c r="B45" s="36">
        <f t="shared" si="13"/>
        <v>7e-8</v>
      </c>
      <c r="C45" s="36">
        <f t="shared" si="0"/>
        <v>-0.0424671470803728</v>
      </c>
      <c r="D45" s="36">
        <f t="shared" si="1"/>
        <v>-1.74768447751625e-22</v>
      </c>
      <c r="E45" s="36">
        <f t="shared" si="2"/>
        <v>5.24656303860532e-18</v>
      </c>
      <c r="F45" s="36">
        <f t="shared" si="3"/>
        <v>3.43856493048672e-6</v>
      </c>
      <c r="G45" s="36">
        <f t="shared" si="4"/>
        <v>-0.124060528150333</v>
      </c>
      <c r="H45" s="36">
        <f t="shared" si="5"/>
        <v>0.0153910146449396</v>
      </c>
      <c r="I45" s="36">
        <f t="shared" si="6"/>
        <v>2.7766387249526e-25</v>
      </c>
      <c r="J45" s="36">
        <f t="shared" si="7"/>
        <v>9.28333333333333e-21</v>
      </c>
      <c r="K45" s="36">
        <f t="shared" si="8"/>
        <v>0.309481132075472</v>
      </c>
      <c r="L45" s="36">
        <f t="shared" si="9"/>
        <v>0.191160188800187</v>
      </c>
      <c r="M45" s="36">
        <f t="shared" si="10"/>
        <v>0.617679622399627</v>
      </c>
      <c r="N45" s="10">
        <f t="shared" si="11"/>
        <v>-0.481785366302144</v>
      </c>
      <c r="O45" s="37">
        <f t="shared" si="12"/>
        <v>1.7504611162412e-22</v>
      </c>
    </row>
    <row r="46" spans="1:15">
      <c r="A46" s="15">
        <v>80</v>
      </c>
      <c r="B46" s="34">
        <f t="shared" si="13"/>
        <v>8e-8</v>
      </c>
      <c r="C46" s="34">
        <f t="shared" si="0"/>
        <v>-0.0283527035718</v>
      </c>
      <c r="D46" s="34">
        <f t="shared" si="1"/>
        <v>-1.16682149225314e-22</v>
      </c>
      <c r="E46" s="34">
        <f t="shared" si="2"/>
        <v>5.24656303860532e-18</v>
      </c>
      <c r="F46" s="34">
        <f t="shared" si="3"/>
        <v>5.69980096998765e-7</v>
      </c>
      <c r="G46" s="34">
        <f t="shared" si="4"/>
        <v>-0.124060528150333</v>
      </c>
      <c r="H46" s="34">
        <f t="shared" si="5"/>
        <v>0.0153910146449396</v>
      </c>
      <c r="I46" s="34">
        <f t="shared" si="6"/>
        <v>4.60258521148528e-26</v>
      </c>
      <c r="J46" s="34">
        <f t="shared" si="7"/>
        <v>9.28333333333333e-21</v>
      </c>
      <c r="K46" s="34">
        <f t="shared" si="8"/>
        <v>0.261969524119948</v>
      </c>
      <c r="L46" s="34">
        <f t="shared" si="9"/>
        <v>0.171902888388164</v>
      </c>
      <c r="M46" s="34">
        <f t="shared" si="10"/>
        <v>0.656194223223672</v>
      </c>
      <c r="N46" s="5">
        <f t="shared" si="11"/>
        <v>-0.421298461871405</v>
      </c>
      <c r="O46" s="35">
        <f t="shared" si="12"/>
        <v>1.16728175077429e-22</v>
      </c>
    </row>
    <row r="47" spans="1:15">
      <c r="A47" s="14">
        <v>90</v>
      </c>
      <c r="B47" s="36">
        <f t="shared" si="13"/>
        <v>9e-8</v>
      </c>
      <c r="C47" s="36">
        <f t="shared" si="0"/>
        <v>-0.0195289857429121</v>
      </c>
      <c r="D47" s="36">
        <f t="shared" si="1"/>
        <v>-8.03691973466656e-23</v>
      </c>
      <c r="E47" s="36">
        <f t="shared" si="2"/>
        <v>5.24656303860532e-18</v>
      </c>
      <c r="F47" s="36">
        <f t="shared" si="3"/>
        <v>9.44804933285746e-8</v>
      </c>
      <c r="G47" s="36">
        <f t="shared" si="4"/>
        <v>-0.124060528150333</v>
      </c>
      <c r="H47" s="36">
        <f t="shared" si="5"/>
        <v>0.0153910146449396</v>
      </c>
      <c r="I47" s="36">
        <f t="shared" si="6"/>
        <v>7.62929308685796e-27</v>
      </c>
      <c r="J47" s="36">
        <f t="shared" si="7"/>
        <v>9.28333333333333e-21</v>
      </c>
      <c r="K47" s="36">
        <f t="shared" si="8"/>
        <v>0.225511363636364</v>
      </c>
      <c r="L47" s="36">
        <f t="shared" si="9"/>
        <v>0.15541545931553</v>
      </c>
      <c r="M47" s="36">
        <f t="shared" si="10"/>
        <v>0.68916908136894</v>
      </c>
      <c r="N47" s="10">
        <f t="shared" si="11"/>
        <v>-0.372268636958383</v>
      </c>
      <c r="O47" s="37">
        <f t="shared" si="12"/>
        <v>8.03768266397525e-23</v>
      </c>
    </row>
    <row r="48" spans="1:15">
      <c r="A48" s="15">
        <v>100</v>
      </c>
      <c r="B48" s="34">
        <f t="shared" si="13"/>
        <v>1e-7</v>
      </c>
      <c r="C48" s="34">
        <f t="shared" si="0"/>
        <v>-0.0138109631439295</v>
      </c>
      <c r="D48" s="34">
        <f t="shared" si="1"/>
        <v>-5.68373615032645e-23</v>
      </c>
      <c r="E48" s="34">
        <f t="shared" si="2"/>
        <v>5.24656303860532e-18</v>
      </c>
      <c r="F48" s="34">
        <f t="shared" si="3"/>
        <v>1.56611847792822e-8</v>
      </c>
      <c r="G48" s="34">
        <f t="shared" si="4"/>
        <v>-0.124060528150333</v>
      </c>
      <c r="H48" s="34">
        <f t="shared" si="5"/>
        <v>0.0153910146449396</v>
      </c>
      <c r="I48" s="34">
        <f t="shared" si="6"/>
        <v>1.26463955213543e-27</v>
      </c>
      <c r="J48" s="34">
        <f t="shared" si="7"/>
        <v>9.28333333333333e-21</v>
      </c>
      <c r="K48" s="34">
        <f t="shared" si="8"/>
        <v>0.196749694002448</v>
      </c>
      <c r="L48" s="34">
        <f t="shared" si="9"/>
        <v>0.141191087485255</v>
      </c>
      <c r="M48" s="34">
        <f t="shared" si="10"/>
        <v>0.717617825029491</v>
      </c>
      <c r="N48" s="5">
        <f t="shared" si="11"/>
        <v>-0.331818128761367</v>
      </c>
      <c r="O48" s="35">
        <f t="shared" si="12"/>
        <v>5.68386261428166e-23</v>
      </c>
    </row>
    <row r="49" spans="1:15">
      <c r="A49" s="38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9">
        <f t="shared" si="10"/>
        <v>0</v>
      </c>
      <c r="N49" s="40"/>
      <c r="O49" s="41"/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9"/>
  <sheetViews>
    <sheetView zoomScale="85" zoomScaleNormal="85" topLeftCell="A22" workbookViewId="0">
      <selection activeCell="A25" sqref="A25:O49"/>
    </sheetView>
  </sheetViews>
  <sheetFormatPr defaultColWidth="9.10576923076923" defaultRowHeight="16.8"/>
  <cols>
    <col min="2" max="2" width="36" customWidth="1"/>
    <col min="3" max="3" width="12" customWidth="1"/>
    <col min="4" max="4" width="9.44230769230769" customWidth="1"/>
    <col min="5" max="5" width="22.7788461538462" customWidth="1"/>
    <col min="6" max="6" width="12.5576923076923" customWidth="1"/>
    <col min="7" max="7" width="12" customWidth="1"/>
    <col min="8" max="8" width="26.1057692307692" customWidth="1"/>
    <col min="9" max="9" width="31.7788461538462" customWidth="1"/>
    <col min="10" max="10" width="9.23076923076923"/>
    <col min="11" max="11" width="13.1057692307692" customWidth="1"/>
    <col min="12" max="12" width="16" customWidth="1"/>
    <col min="13" max="13" width="10"/>
    <col min="14" max="14" width="14.0769230769231"/>
    <col min="15" max="15" width="9.23076923076923"/>
  </cols>
  <sheetData>
    <row r="1" spans="1:7">
      <c r="A1" s="33"/>
      <c r="B1" s="2" t="s">
        <v>73</v>
      </c>
      <c r="C1" s="2"/>
      <c r="D1" s="2"/>
      <c r="E1" s="2"/>
      <c r="F1" s="2"/>
      <c r="G1" s="3"/>
    </row>
    <row r="2" spans="1:7">
      <c r="A2" s="15"/>
      <c r="B2" s="5"/>
      <c r="C2" s="5"/>
      <c r="D2" s="5"/>
      <c r="E2" s="5"/>
      <c r="F2" s="5"/>
      <c r="G2" s="7"/>
    </row>
    <row r="3" spans="1:7">
      <c r="A3" s="9" t="s">
        <v>0</v>
      </c>
      <c r="B3" s="10" t="s">
        <v>1</v>
      </c>
      <c r="C3" s="10" t="s">
        <v>2</v>
      </c>
      <c r="D3" s="10" t="s">
        <v>3</v>
      </c>
      <c r="E3" s="10" t="s">
        <v>70</v>
      </c>
      <c r="F3" s="10" t="s">
        <v>4</v>
      </c>
      <c r="G3" s="12"/>
    </row>
    <row r="4" spans="1:7">
      <c r="A4" s="4" t="s">
        <v>5</v>
      </c>
      <c r="B4" s="5" t="s">
        <v>6</v>
      </c>
      <c r="C4" s="6">
        <v>5.57e-20</v>
      </c>
      <c r="D4" s="5" t="s">
        <v>7</v>
      </c>
      <c r="E4" s="5"/>
      <c r="F4" s="5" t="s">
        <v>74</v>
      </c>
      <c r="G4" s="35"/>
    </row>
    <row r="5" spans="1:7">
      <c r="A5" s="9" t="s">
        <v>9</v>
      </c>
      <c r="B5" s="10" t="s">
        <v>10</v>
      </c>
      <c r="C5" s="17">
        <v>0.03</v>
      </c>
      <c r="D5" s="10"/>
      <c r="E5" s="10"/>
      <c r="F5" s="10" t="s">
        <v>11</v>
      </c>
      <c r="G5" s="37"/>
    </row>
    <row r="6" spans="1:7">
      <c r="A6" s="4" t="s">
        <v>12</v>
      </c>
      <c r="B6" s="5" t="s">
        <v>13</v>
      </c>
      <c r="C6" s="13">
        <v>0.03</v>
      </c>
      <c r="D6" s="5"/>
      <c r="E6" s="5"/>
      <c r="F6" s="5" t="s">
        <v>14</v>
      </c>
      <c r="G6" s="35"/>
    </row>
    <row r="7" ht="20" spans="1:7">
      <c r="A7" s="14" t="s">
        <v>15</v>
      </c>
      <c r="B7" s="10" t="s">
        <v>16</v>
      </c>
      <c r="C7" s="11">
        <v>1.381e-23</v>
      </c>
      <c r="D7" s="10" t="s">
        <v>71</v>
      </c>
      <c r="E7" s="10"/>
      <c r="F7" s="10" t="s">
        <v>18</v>
      </c>
      <c r="G7" s="12"/>
    </row>
    <row r="8" ht="20" spans="1:7">
      <c r="A8" s="15" t="s">
        <v>19</v>
      </c>
      <c r="B8" s="5"/>
      <c r="C8" s="13">
        <f>C7*C14</f>
        <v>4.11538e-21</v>
      </c>
      <c r="D8" s="5"/>
      <c r="E8" s="5"/>
      <c r="F8" s="5"/>
      <c r="G8" s="7"/>
    </row>
    <row r="9" spans="1:7">
      <c r="A9" s="9" t="s">
        <v>20</v>
      </c>
      <c r="B9" s="10" t="s">
        <v>21</v>
      </c>
      <c r="C9" s="11">
        <f>C11*C12*1000</f>
        <v>3.612e+25</v>
      </c>
      <c r="D9" s="10" t="s">
        <v>22</v>
      </c>
      <c r="E9" s="10"/>
      <c r="F9" s="10" t="s">
        <v>23</v>
      </c>
      <c r="G9" s="12"/>
    </row>
    <row r="10" spans="1:7">
      <c r="A10" s="4"/>
      <c r="B10" s="5" t="s">
        <v>24</v>
      </c>
      <c r="C10" s="5"/>
      <c r="D10" s="5"/>
      <c r="E10" s="5"/>
      <c r="F10" s="5" t="s">
        <v>25</v>
      </c>
      <c r="G10" s="7"/>
    </row>
    <row r="11" spans="1:7">
      <c r="A11" s="9"/>
      <c r="B11" s="10" t="s">
        <v>26</v>
      </c>
      <c r="C11" s="11">
        <v>6.02e+23</v>
      </c>
      <c r="D11" s="10"/>
      <c r="E11" s="10"/>
      <c r="F11" s="10" t="s">
        <v>27</v>
      </c>
      <c r="G11" s="12"/>
    </row>
    <row r="12" spans="1:7">
      <c r="A12" s="4"/>
      <c r="B12" s="5" t="s">
        <v>28</v>
      </c>
      <c r="C12" s="13">
        <f>2*C5</f>
        <v>0.06</v>
      </c>
      <c r="D12" s="5"/>
      <c r="E12" s="5"/>
      <c r="F12" s="5" t="s">
        <v>29</v>
      </c>
      <c r="G12" s="7"/>
    </row>
    <row r="13" spans="1:7">
      <c r="A13" s="9" t="s">
        <v>30</v>
      </c>
      <c r="B13" s="10" t="s">
        <v>31</v>
      </c>
      <c r="C13" s="11">
        <f>66.5/1000000000</f>
        <v>6.65e-8</v>
      </c>
      <c r="D13" s="10" t="s">
        <v>32</v>
      </c>
      <c r="E13" s="10"/>
      <c r="F13" s="10" t="s">
        <v>33</v>
      </c>
      <c r="G13" s="12"/>
    </row>
    <row r="14" spans="1:7">
      <c r="A14" s="4" t="s">
        <v>34</v>
      </c>
      <c r="B14" s="5" t="s">
        <v>35</v>
      </c>
      <c r="C14" s="42">
        <v>298</v>
      </c>
      <c r="D14" s="5" t="s">
        <v>36</v>
      </c>
      <c r="E14" s="5"/>
      <c r="F14" s="5" t="s">
        <v>37</v>
      </c>
      <c r="G14" s="7"/>
    </row>
    <row r="15" spans="1:7">
      <c r="A15" s="9" t="s">
        <v>75</v>
      </c>
      <c r="B15" s="10"/>
      <c r="C15" s="17">
        <v>1</v>
      </c>
      <c r="D15" s="10"/>
      <c r="E15" s="10"/>
      <c r="F15" s="10"/>
      <c r="G15" s="12"/>
    </row>
    <row r="16" ht="18.75" customHeight="1" spans="1:7">
      <c r="A16" s="4" t="s">
        <v>39</v>
      </c>
      <c r="B16" s="18" t="s">
        <v>40</v>
      </c>
      <c r="C16" s="19">
        <f>C17*C18</f>
        <v>7.0832e-10</v>
      </c>
      <c r="D16" s="18" t="s">
        <v>41</v>
      </c>
      <c r="E16" s="18"/>
      <c r="F16" s="5" t="s">
        <v>42</v>
      </c>
      <c r="G16" s="20"/>
    </row>
    <row r="17" ht="21.75" customHeight="1" spans="1:15">
      <c r="A17" s="9"/>
      <c r="B17" s="22" t="s">
        <v>43</v>
      </c>
      <c r="C17" s="23">
        <v>8.854e-12</v>
      </c>
      <c r="D17" s="22"/>
      <c r="E17" s="22"/>
      <c r="F17" s="10" t="s">
        <v>44</v>
      </c>
      <c r="G17" s="24"/>
    </row>
    <row r="18" ht="23.25" customHeight="1" spans="1:15">
      <c r="A18" s="4"/>
      <c r="B18" s="18" t="s">
        <v>45</v>
      </c>
      <c r="C18" s="25">
        <v>80</v>
      </c>
      <c r="D18" s="18"/>
      <c r="E18" s="18"/>
      <c r="F18" s="5" t="s">
        <v>42</v>
      </c>
      <c r="G18" s="20"/>
    </row>
    <row r="19" ht="17" spans="1:15">
      <c r="A19" s="9" t="s">
        <v>46</v>
      </c>
      <c r="B19" s="10" t="s">
        <v>47</v>
      </c>
      <c r="C19" s="11">
        <f>1/((4.31*POWER(2*C6,-0.5)/10000000000))</f>
        <v>568327086.492617</v>
      </c>
      <c r="D19" s="10" t="s">
        <v>48</v>
      </c>
      <c r="E19" s="10"/>
      <c r="F19" s="10" t="s">
        <v>49</v>
      </c>
      <c r="G19" s="12"/>
    </row>
    <row r="20" spans="1:15">
      <c r="A20" s="4" t="s">
        <v>50</v>
      </c>
      <c r="B20" s="5"/>
      <c r="C20" s="16">
        <v>3.1416</v>
      </c>
      <c r="D20" s="5"/>
      <c r="E20" s="5"/>
      <c r="F20" s="5"/>
      <c r="G20" s="7"/>
    </row>
    <row r="21" ht="18.75" customHeight="1" spans="1:15">
      <c r="A21" s="9" t="s">
        <v>51</v>
      </c>
      <c r="B21" s="26" t="s">
        <v>52</v>
      </c>
      <c r="C21" s="23">
        <f>-16.73/1000</f>
        <v>-0.01673</v>
      </c>
      <c r="D21" s="26" t="s">
        <v>53</v>
      </c>
      <c r="E21" s="26"/>
      <c r="F21" s="10" t="s">
        <v>54</v>
      </c>
      <c r="G21" s="27"/>
    </row>
    <row r="22" ht="17.25" customHeight="1" spans="1:15">
      <c r="A22" s="29" t="s">
        <v>55</v>
      </c>
      <c r="B22" s="30"/>
      <c r="C22" s="31">
        <v>1.6e-19</v>
      </c>
      <c r="D22" s="30"/>
      <c r="E22" s="30"/>
      <c r="F22" s="30"/>
      <c r="G22" s="32"/>
    </row>
    <row r="23" ht="17.25" customHeight="1" spans="1:15">
      <c r="A23" s="28"/>
      <c r="B23" s="28"/>
      <c r="C23" s="28"/>
      <c r="D23" s="28"/>
      <c r="E23" s="28"/>
      <c r="F23" s="28"/>
      <c r="G23" s="28"/>
    </row>
    <row r="24" ht="17.25" customHeight="1" spans="1:15">
      <c r="A24" s="28"/>
      <c r="B24" s="28"/>
      <c r="C24" s="28"/>
      <c r="D24" s="28"/>
      <c r="E24" s="28"/>
      <c r="F24" s="28"/>
      <c r="G24" s="28"/>
    </row>
    <row r="25" ht="20" spans="1:15">
      <c r="A25" s="33"/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62</v>
      </c>
      <c r="I25" s="2" t="s">
        <v>63</v>
      </c>
      <c r="J25" s="2" t="s">
        <v>64</v>
      </c>
      <c r="K25" s="2" t="s">
        <v>65</v>
      </c>
      <c r="L25" s="2" t="s">
        <v>66</v>
      </c>
      <c r="M25" s="2" t="s">
        <v>67</v>
      </c>
      <c r="N25" s="2" t="s">
        <v>68</v>
      </c>
      <c r="O25" s="3"/>
    </row>
    <row r="26" spans="1:15">
      <c r="A26" s="15">
        <v>0.0001</v>
      </c>
      <c r="B26" s="34">
        <v>1e-9</v>
      </c>
      <c r="C26" s="34">
        <f t="shared" ref="C26:C48" si="0">D26/$C$8</f>
        <v>-44.3339442624205</v>
      </c>
      <c r="D26" s="34">
        <f t="shared" ref="D26:D48" si="1">I26-O26</f>
        <v>-1.8245102753868e-19</v>
      </c>
      <c r="E26" s="34">
        <f t="shared" ref="E26:E48" si="2">64*$C$20*$C$9*$C$13*$C$7*$C$14/$C$19/$C$19</f>
        <v>6.15337640330251e-18</v>
      </c>
      <c r="F26" s="34">
        <f t="shared" ref="F26:F48" si="3">EXP(-$C$19*B26)</f>
        <v>0.566472305637123</v>
      </c>
      <c r="G26" s="34">
        <f t="shared" ref="G26:G48" si="4">(EXP($C$15*$C$22*$C$21/2/$C$7/$C$14)-1)/(EXP($C$15*$C$22*$C$21/2/$C$7/$C$14)+1)</f>
        <v>-0.161191293854606</v>
      </c>
      <c r="H26" s="34">
        <f t="shared" ref="H26:H48" si="5">POWER($G26,2)</f>
        <v>0.0259826332145219</v>
      </c>
      <c r="I26" s="34">
        <f t="shared" ref="I26:I48" si="6">$E26*$F26*$H26</f>
        <v>9.05681145795177e-20</v>
      </c>
      <c r="J26" s="34">
        <f t="shared" ref="J26:J48" si="7">$C$4/6</f>
        <v>9.28333333333333e-21</v>
      </c>
      <c r="K26" s="34">
        <f t="shared" ref="K26:K48" si="8">2*$C$13*$C$13/(B26*B26+4*$C$13*B26)</f>
        <v>33.125468164794</v>
      </c>
      <c r="L26" s="34">
        <f t="shared" ref="L26:L48" si="9">2*$C$13*$C$13/(B26*B26+4*$C$13*B26+4*$C$13*$C$13)</f>
        <v>0.492565159278236</v>
      </c>
      <c r="M26" s="34">
        <f t="shared" ref="M26:M49" si="10">(B26*B26+4*$C$13*B26)/(B26*B26+4*$C$13*B26+4*$C$13*$C$13)</f>
        <v>0.0148696814435286</v>
      </c>
      <c r="N26" s="5">
        <f t="shared" ref="N26:N48" si="11">LN(M26)</f>
        <v>-4.20843094150157</v>
      </c>
      <c r="O26" s="35">
        <f t="shared" ref="O26:O48" si="12">J26*(K26+L26+N26)</f>
        <v>2.73019142118198e-19</v>
      </c>
    </row>
    <row r="27" spans="1:15">
      <c r="A27" s="14">
        <v>0.001</v>
      </c>
      <c r="B27" s="36">
        <f t="shared" ref="B27:B48" si="13">A27/1000000000</f>
        <v>1e-12</v>
      </c>
      <c r="C27" s="36">
        <f t="shared" si="0"/>
        <v>-74941.1799907509</v>
      </c>
      <c r="D27" s="36">
        <f t="shared" si="1"/>
        <v>-3.08411433310336e-16</v>
      </c>
      <c r="E27" s="36">
        <f t="shared" si="2"/>
        <v>6.15337640330251e-18</v>
      </c>
      <c r="F27" s="36">
        <f t="shared" si="3"/>
        <v>0.999431834380756</v>
      </c>
      <c r="G27" s="36">
        <f t="shared" si="4"/>
        <v>-0.161191293854606</v>
      </c>
      <c r="H27" s="36">
        <f t="shared" si="5"/>
        <v>0.0259826332145219</v>
      </c>
      <c r="I27" s="36">
        <f t="shared" si="6"/>
        <v>1.59790083274782e-19</v>
      </c>
      <c r="J27" s="36">
        <f t="shared" si="7"/>
        <v>9.28333333333333e-21</v>
      </c>
      <c r="K27" s="36">
        <f t="shared" si="8"/>
        <v>33249.8750004699</v>
      </c>
      <c r="L27" s="36">
        <f t="shared" si="9"/>
        <v>0.499992481287805</v>
      </c>
      <c r="M27" s="36">
        <f t="shared" si="10"/>
        <v>1.5037424389738e-5</v>
      </c>
      <c r="N27" s="10">
        <f t="shared" si="11"/>
        <v>-11.10496850479</v>
      </c>
      <c r="O27" s="37">
        <f t="shared" si="12"/>
        <v>3.08571223393611e-16</v>
      </c>
    </row>
    <row r="28" spans="1:15">
      <c r="A28" s="15">
        <v>0.01</v>
      </c>
      <c r="B28" s="34">
        <f t="shared" si="13"/>
        <v>1e-11</v>
      </c>
      <c r="C28" s="34">
        <f t="shared" si="0"/>
        <v>-7442.78114651955</v>
      </c>
      <c r="D28" s="34">
        <f t="shared" si="1"/>
        <v>-3.06298726747636e-17</v>
      </c>
      <c r="E28" s="34">
        <f t="shared" si="2"/>
        <v>6.15337640330251e-18</v>
      </c>
      <c r="F28" s="34">
        <f t="shared" si="3"/>
        <v>0.994332848367824</v>
      </c>
      <c r="G28" s="34">
        <f t="shared" si="4"/>
        <v>-0.161191293854606</v>
      </c>
      <c r="H28" s="34">
        <f t="shared" si="5"/>
        <v>0.0259826332145219</v>
      </c>
      <c r="I28" s="34">
        <f t="shared" si="6"/>
        <v>1.58974852689169e-19</v>
      </c>
      <c r="J28" s="34">
        <f t="shared" si="7"/>
        <v>9.28333333333333e-21</v>
      </c>
      <c r="K28" s="34">
        <f t="shared" si="8"/>
        <v>3324.87500469907</v>
      </c>
      <c r="L28" s="34">
        <f t="shared" si="9"/>
        <v>0.499924820509071</v>
      </c>
      <c r="M28" s="34">
        <f t="shared" si="10"/>
        <v>0.00015035898185722</v>
      </c>
      <c r="N28" s="5">
        <f t="shared" si="11"/>
        <v>-8.80248491065848</v>
      </c>
      <c r="O28" s="35">
        <f t="shared" si="12"/>
        <v>3.07888475274528e-17</v>
      </c>
    </row>
    <row r="29" spans="1:15">
      <c r="A29" s="14">
        <v>0.1</v>
      </c>
      <c r="B29" s="36">
        <f t="shared" si="13"/>
        <v>1e-10</v>
      </c>
      <c r="C29" s="36">
        <f t="shared" si="0"/>
        <v>-699.518648236769</v>
      </c>
      <c r="D29" s="36">
        <f t="shared" si="1"/>
        <v>-2.87878505458063e-18</v>
      </c>
      <c r="E29" s="36">
        <f t="shared" si="2"/>
        <v>6.15337640330251e-18</v>
      </c>
      <c r="F29" s="36">
        <f t="shared" si="3"/>
        <v>0.944752105002916</v>
      </c>
      <c r="G29" s="36">
        <f t="shared" si="4"/>
        <v>-0.161191293854606</v>
      </c>
      <c r="H29" s="36">
        <f t="shared" si="5"/>
        <v>0.0259826332145219</v>
      </c>
      <c r="I29" s="36">
        <f t="shared" si="6"/>
        <v>1.51047837720696e-19</v>
      </c>
      <c r="J29" s="36">
        <f t="shared" si="7"/>
        <v>9.28333333333333e-21</v>
      </c>
      <c r="K29" s="36">
        <f t="shared" si="8"/>
        <v>332.375046974822</v>
      </c>
      <c r="L29" s="36">
        <f t="shared" si="9"/>
        <v>0.499248967436063</v>
      </c>
      <c r="M29" s="36">
        <f t="shared" si="10"/>
        <v>0.0015020651278731</v>
      </c>
      <c r="N29" s="10">
        <f t="shared" si="11"/>
        <v>-6.50091436581253</v>
      </c>
      <c r="O29" s="37">
        <f t="shared" si="12"/>
        <v>3.02983289230133e-18</v>
      </c>
    </row>
    <row r="30" spans="1:15">
      <c r="A30" s="15">
        <v>1</v>
      </c>
      <c r="B30" s="34">
        <f t="shared" si="13"/>
        <v>1e-9</v>
      </c>
      <c r="C30" s="34">
        <f t="shared" si="0"/>
        <v>-44.3339442624205</v>
      </c>
      <c r="D30" s="34">
        <f t="shared" si="1"/>
        <v>-1.8245102753868e-19</v>
      </c>
      <c r="E30" s="34">
        <f t="shared" si="2"/>
        <v>6.15337640330251e-18</v>
      </c>
      <c r="F30" s="34">
        <f t="shared" si="3"/>
        <v>0.566472305637123</v>
      </c>
      <c r="G30" s="34">
        <f t="shared" si="4"/>
        <v>-0.161191293854606</v>
      </c>
      <c r="H30" s="34">
        <f t="shared" si="5"/>
        <v>0.0259826332145219</v>
      </c>
      <c r="I30" s="34">
        <f t="shared" si="6"/>
        <v>9.05681145795177e-20</v>
      </c>
      <c r="J30" s="34">
        <f t="shared" si="7"/>
        <v>9.28333333333333e-21</v>
      </c>
      <c r="K30" s="34">
        <f t="shared" si="8"/>
        <v>33.125468164794</v>
      </c>
      <c r="L30" s="34">
        <f t="shared" si="9"/>
        <v>0.492565159278236</v>
      </c>
      <c r="M30" s="34">
        <f t="shared" si="10"/>
        <v>0.0148696814435286</v>
      </c>
      <c r="N30" s="5">
        <f t="shared" si="11"/>
        <v>-4.20843094150157</v>
      </c>
      <c r="O30" s="35">
        <f t="shared" si="12"/>
        <v>2.73019142118198e-19</v>
      </c>
    </row>
    <row r="31" spans="1:15">
      <c r="A31" s="14">
        <v>2</v>
      </c>
      <c r="B31" s="36">
        <f t="shared" si="13"/>
        <v>2e-9</v>
      </c>
      <c r="C31" s="36">
        <f t="shared" si="0"/>
        <v>-17.8956976272785</v>
      </c>
      <c r="D31" s="36">
        <f t="shared" si="1"/>
        <v>-7.36475961013495e-20</v>
      </c>
      <c r="E31" s="36">
        <f t="shared" si="2"/>
        <v>6.15337640330251e-18</v>
      </c>
      <c r="F31" s="36">
        <f t="shared" si="3"/>
        <v>0.320890873053838</v>
      </c>
      <c r="G31" s="36">
        <f t="shared" si="4"/>
        <v>-0.161191293854606</v>
      </c>
      <c r="H31" s="36">
        <f t="shared" si="5"/>
        <v>0.0259826332145219</v>
      </c>
      <c r="I31" s="36">
        <f t="shared" si="6"/>
        <v>5.13043286830665e-20</v>
      </c>
      <c r="J31" s="36">
        <f t="shared" si="7"/>
        <v>9.28333333333333e-21</v>
      </c>
      <c r="K31" s="36">
        <f t="shared" si="8"/>
        <v>16.5009328358209</v>
      </c>
      <c r="L31" s="36">
        <f t="shared" si="9"/>
        <v>0.485294924554184</v>
      </c>
      <c r="M31" s="36">
        <f t="shared" si="10"/>
        <v>0.0294101508916324</v>
      </c>
      <c r="N31" s="10">
        <f t="shared" si="11"/>
        <v>-3.52641539580606</v>
      </c>
      <c r="O31" s="37">
        <f t="shared" si="12"/>
        <v>1.24951924784416e-19</v>
      </c>
    </row>
    <row r="32" spans="1:15">
      <c r="A32" s="15">
        <v>3</v>
      </c>
      <c r="B32" s="34">
        <f t="shared" si="13"/>
        <v>3e-9</v>
      </c>
      <c r="C32" s="34">
        <f t="shared" si="0"/>
        <v>-11.674303724717</v>
      </c>
      <c r="D32" s="34">
        <f t="shared" si="1"/>
        <v>-4.80441960626257e-20</v>
      </c>
      <c r="E32" s="34">
        <f t="shared" si="2"/>
        <v>6.15337640330251e-18</v>
      </c>
      <c r="F32" s="34">
        <f t="shared" si="3"/>
        <v>0.181775792716717</v>
      </c>
      <c r="G32" s="34">
        <f t="shared" si="4"/>
        <v>-0.161191293854606</v>
      </c>
      <c r="H32" s="34">
        <f t="shared" si="5"/>
        <v>0.0259826332145219</v>
      </c>
      <c r="I32" s="34">
        <f t="shared" si="6"/>
        <v>2.90624813582615e-20</v>
      </c>
      <c r="J32" s="34">
        <f t="shared" si="7"/>
        <v>9.28333333333333e-21</v>
      </c>
      <c r="K32" s="34">
        <f t="shared" si="8"/>
        <v>10.9597273853779</v>
      </c>
      <c r="L32" s="34">
        <f t="shared" si="9"/>
        <v>0.478184472318339</v>
      </c>
      <c r="M32" s="34">
        <f t="shared" si="10"/>
        <v>0.0436310553633218</v>
      </c>
      <c r="N32" s="5">
        <f t="shared" si="11"/>
        <v>-3.13198610320216</v>
      </c>
      <c r="O32" s="35">
        <f t="shared" si="12"/>
        <v>7.71066774208872e-20</v>
      </c>
    </row>
    <row r="33" spans="1:15">
      <c r="A33" s="14">
        <v>4</v>
      </c>
      <c r="B33" s="36">
        <f t="shared" si="13"/>
        <v>4e-9</v>
      </c>
      <c r="C33" s="36">
        <f t="shared" si="0"/>
        <v>-9.09509535002138</v>
      </c>
      <c r="D33" s="36">
        <f t="shared" si="1"/>
        <v>-3.7429773501571e-20</v>
      </c>
      <c r="E33" s="36">
        <f t="shared" si="2"/>
        <v>6.15337640330251e-18</v>
      </c>
      <c r="F33" s="36">
        <f t="shared" si="3"/>
        <v>0.102970952409254</v>
      </c>
      <c r="G33" s="36">
        <f t="shared" si="4"/>
        <v>-0.161191293854606</v>
      </c>
      <c r="H33" s="36">
        <f t="shared" si="5"/>
        <v>0.0259826332145219</v>
      </c>
      <c r="I33" s="36">
        <f t="shared" si="6"/>
        <v>1.64630908225502e-20</v>
      </c>
      <c r="J33" s="36">
        <f t="shared" si="7"/>
        <v>9.28333333333333e-21</v>
      </c>
      <c r="K33" s="36">
        <f t="shared" si="8"/>
        <v>8.18935185185185</v>
      </c>
      <c r="L33" s="36">
        <f t="shared" si="9"/>
        <v>0.471229154456817</v>
      </c>
      <c r="M33" s="36">
        <f t="shared" si="10"/>
        <v>0.0575416910863658</v>
      </c>
      <c r="N33" s="10">
        <f t="shared" si="11"/>
        <v>-2.85524553153798</v>
      </c>
      <c r="O33" s="37">
        <f t="shared" si="12"/>
        <v>5.38928643241212e-20</v>
      </c>
    </row>
    <row r="34" spans="1:15">
      <c r="A34" s="15">
        <v>5</v>
      </c>
      <c r="B34" s="34">
        <f t="shared" si="13"/>
        <v>5e-9</v>
      </c>
      <c r="C34" s="34">
        <f t="shared" si="0"/>
        <v>-7.5437239072724</v>
      </c>
      <c r="D34" s="34">
        <f t="shared" si="1"/>
        <v>-3.10452904935107e-20</v>
      </c>
      <c r="E34" s="34">
        <f t="shared" si="2"/>
        <v>6.15337640330251e-18</v>
      </c>
      <c r="F34" s="34">
        <f t="shared" si="3"/>
        <v>0.0583301928249208</v>
      </c>
      <c r="G34" s="34">
        <f t="shared" si="4"/>
        <v>-0.161191293854606</v>
      </c>
      <c r="H34" s="34">
        <f t="shared" si="5"/>
        <v>0.0259826332145219</v>
      </c>
      <c r="I34" s="34">
        <f t="shared" si="6"/>
        <v>9.32588501616342e-21</v>
      </c>
      <c r="J34" s="34">
        <f t="shared" si="7"/>
        <v>9.28333333333333e-21</v>
      </c>
      <c r="K34" s="34">
        <f t="shared" si="8"/>
        <v>6.52730627306273</v>
      </c>
      <c r="L34" s="34">
        <f t="shared" si="9"/>
        <v>0.464424490653224</v>
      </c>
      <c r="M34" s="34">
        <f t="shared" si="10"/>
        <v>0.0711510186935518</v>
      </c>
      <c r="N34" s="5">
        <f t="shared" si="11"/>
        <v>-2.64295063700061</v>
      </c>
      <c r="O34" s="35">
        <f t="shared" si="12"/>
        <v>4.03711755096741e-20</v>
      </c>
    </row>
    <row r="35" spans="1:15">
      <c r="A35" s="14">
        <v>6</v>
      </c>
      <c r="B35" s="36">
        <f t="shared" si="13"/>
        <v>6e-9</v>
      </c>
      <c r="C35" s="36">
        <f t="shared" si="0"/>
        <v>-6.39900976840044</v>
      </c>
      <c r="D35" s="36">
        <f t="shared" si="1"/>
        <v>-2.63343568206798e-20</v>
      </c>
      <c r="E35" s="36">
        <f t="shared" si="2"/>
        <v>6.15337640330251e-18</v>
      </c>
      <c r="F35" s="36">
        <f t="shared" si="3"/>
        <v>0.0330424388177908</v>
      </c>
      <c r="G35" s="36">
        <f t="shared" si="4"/>
        <v>-0.161191293854606</v>
      </c>
      <c r="H35" s="36">
        <f t="shared" si="5"/>
        <v>0.0259826332145219</v>
      </c>
      <c r="I35" s="36">
        <f t="shared" si="6"/>
        <v>5.28285558721278e-21</v>
      </c>
      <c r="J35" s="36">
        <f t="shared" si="7"/>
        <v>9.28333333333333e-21</v>
      </c>
      <c r="K35" s="36">
        <f t="shared" si="8"/>
        <v>5.41942401960784</v>
      </c>
      <c r="L35" s="36">
        <f t="shared" si="9"/>
        <v>0.457766161171782</v>
      </c>
      <c r="M35" s="36">
        <f t="shared" si="10"/>
        <v>0.084467677656436</v>
      </c>
      <c r="N35" s="10">
        <f t="shared" si="11"/>
        <v>-2.47138633073733</v>
      </c>
      <c r="O35" s="37">
        <f t="shared" si="12"/>
        <v>3.16172124078926e-20</v>
      </c>
    </row>
    <row r="36" spans="1:15">
      <c r="A36" s="15">
        <v>7</v>
      </c>
      <c r="B36" s="34">
        <f t="shared" si="13"/>
        <v>7e-9</v>
      </c>
      <c r="C36" s="34">
        <f t="shared" si="0"/>
        <v>-5.47968477384488</v>
      </c>
      <c r="D36" s="34">
        <f t="shared" si="1"/>
        <v>-2.25509851245857e-20</v>
      </c>
      <c r="E36" s="34">
        <f t="shared" si="2"/>
        <v>6.15337640330251e-18</v>
      </c>
      <c r="F36" s="34">
        <f t="shared" si="3"/>
        <v>0.0187176265009875</v>
      </c>
      <c r="G36" s="34">
        <f t="shared" si="4"/>
        <v>-0.161191293854606</v>
      </c>
      <c r="H36" s="34">
        <f t="shared" si="5"/>
        <v>0.0259826332145219</v>
      </c>
      <c r="I36" s="34">
        <f t="shared" si="6"/>
        <v>2.99259138483638e-21</v>
      </c>
      <c r="J36" s="34">
        <f t="shared" si="7"/>
        <v>9.28333333333333e-21</v>
      </c>
      <c r="K36" s="34">
        <f t="shared" si="8"/>
        <v>4.62820512820513</v>
      </c>
      <c r="L36" s="34">
        <f t="shared" si="9"/>
        <v>0.45125</v>
      </c>
      <c r="M36" s="34">
        <f t="shared" si="10"/>
        <v>0.0975</v>
      </c>
      <c r="N36" s="5">
        <f t="shared" si="11"/>
        <v>-2.32790290097834</v>
      </c>
      <c r="O36" s="35">
        <f t="shared" si="12"/>
        <v>2.55435765094221e-20</v>
      </c>
    </row>
    <row r="37" spans="1:15">
      <c r="A37" s="14">
        <v>8</v>
      </c>
      <c r="B37" s="36">
        <f t="shared" si="13"/>
        <v>8e-9</v>
      </c>
      <c r="C37" s="36">
        <f t="shared" si="0"/>
        <v>-4.71954133766553</v>
      </c>
      <c r="D37" s="36">
        <f t="shared" si="1"/>
        <v>-1.94227060302019e-20</v>
      </c>
      <c r="E37" s="36">
        <f t="shared" si="2"/>
        <v>6.15337640330251e-18</v>
      </c>
      <c r="F37" s="36">
        <f t="shared" si="3"/>
        <v>0.0106030170400689</v>
      </c>
      <c r="G37" s="36">
        <f t="shared" si="4"/>
        <v>-0.161191293854606</v>
      </c>
      <c r="H37" s="36">
        <f t="shared" si="5"/>
        <v>0.0259826332145219</v>
      </c>
      <c r="I37" s="36">
        <f t="shared" si="6"/>
        <v>1.69522014159805e-21</v>
      </c>
      <c r="J37" s="36">
        <f t="shared" si="7"/>
        <v>9.28333333333333e-21</v>
      </c>
      <c r="K37" s="36">
        <f t="shared" si="8"/>
        <v>4.0348996350365</v>
      </c>
      <c r="L37" s="36">
        <f t="shared" si="9"/>
        <v>0.444871988330567</v>
      </c>
      <c r="M37" s="36">
        <f t="shared" si="10"/>
        <v>0.110256023338866</v>
      </c>
      <c r="N37" s="10">
        <f t="shared" si="11"/>
        <v>-2.20495013268843</v>
      </c>
      <c r="O37" s="37">
        <f t="shared" si="12"/>
        <v>2.11179261718e-20</v>
      </c>
    </row>
    <row r="38" spans="1:15">
      <c r="A38" s="15">
        <v>9</v>
      </c>
      <c r="B38" s="34">
        <f t="shared" si="13"/>
        <v>9e-9</v>
      </c>
      <c r="C38" s="34">
        <f t="shared" si="0"/>
        <v>-4.08533217400725</v>
      </c>
      <c r="D38" s="34">
        <f t="shared" si="1"/>
        <v>-1.6812694322266e-20</v>
      </c>
      <c r="E38" s="34">
        <f t="shared" si="2"/>
        <v>6.15337640330251e-18</v>
      </c>
      <c r="F38" s="34">
        <f t="shared" si="3"/>
        <v>0.00600631550939755</v>
      </c>
      <c r="G38" s="34">
        <f t="shared" si="4"/>
        <v>-0.161191293854606</v>
      </c>
      <c r="H38" s="34">
        <f t="shared" si="5"/>
        <v>0.0259826332145219</v>
      </c>
      <c r="I38" s="34">
        <f t="shared" si="6"/>
        <v>9.60295262173542e-22</v>
      </c>
      <c r="J38" s="34">
        <f t="shared" si="7"/>
        <v>9.28333333333333e-21</v>
      </c>
      <c r="K38" s="34">
        <f t="shared" si="8"/>
        <v>3.57353535353535</v>
      </c>
      <c r="L38" s="34">
        <f t="shared" si="9"/>
        <v>0.43862824836342</v>
      </c>
      <c r="M38" s="34">
        <f t="shared" si="10"/>
        <v>0.12274350327316</v>
      </c>
      <c r="N38" s="5">
        <f t="shared" si="11"/>
        <v>-2.09765844019973</v>
      </c>
      <c r="O38" s="35">
        <f t="shared" si="12"/>
        <v>1.77729895844395e-20</v>
      </c>
    </row>
    <row r="39" spans="1:15">
      <c r="A39" s="14">
        <v>10</v>
      </c>
      <c r="B39" s="36">
        <f t="shared" si="13"/>
        <v>1e-8</v>
      </c>
      <c r="C39" s="36">
        <f t="shared" si="0"/>
        <v>-3.55450748728848</v>
      </c>
      <c r="D39" s="36">
        <f t="shared" si="1"/>
        <v>-1.46281490230372e-20</v>
      </c>
      <c r="E39" s="36">
        <f t="shared" si="2"/>
        <v>6.15337640330251e-18</v>
      </c>
      <c r="F39" s="36">
        <f t="shared" si="3"/>
        <v>0.00340241139499244</v>
      </c>
      <c r="G39" s="36">
        <f t="shared" si="4"/>
        <v>-0.161191293854606</v>
      </c>
      <c r="H39" s="36">
        <f t="shared" si="5"/>
        <v>0.0259826332145219</v>
      </c>
      <c r="I39" s="36">
        <f t="shared" si="6"/>
        <v>5.43980671255851e-22</v>
      </c>
      <c r="J39" s="36">
        <f t="shared" si="7"/>
        <v>9.28333333333333e-21</v>
      </c>
      <c r="K39" s="36">
        <f t="shared" si="8"/>
        <v>3.20452898550725</v>
      </c>
      <c r="L39" s="36">
        <f t="shared" si="9"/>
        <v>0.432515037410142</v>
      </c>
      <c r="M39" s="36">
        <f t="shared" si="10"/>
        <v>0.134969925179715</v>
      </c>
      <c r="N39" s="10">
        <f t="shared" si="11"/>
        <v>-2.00270330180862</v>
      </c>
      <c r="O39" s="37">
        <f t="shared" si="12"/>
        <v>1.51721296942931e-20</v>
      </c>
    </row>
    <row r="40" spans="1:15">
      <c r="A40" s="15">
        <v>20</v>
      </c>
      <c r="B40" s="34">
        <f t="shared" si="13"/>
        <v>2e-8</v>
      </c>
      <c r="C40" s="34">
        <f t="shared" si="0"/>
        <v>-1.16107624260687</v>
      </c>
      <c r="D40" s="34">
        <f t="shared" si="1"/>
        <v>-4.77826994729945e-21</v>
      </c>
      <c r="E40" s="34">
        <f t="shared" si="2"/>
        <v>6.15337640330251e-18</v>
      </c>
      <c r="F40" s="34">
        <f t="shared" si="3"/>
        <v>1.15764033007744e-5</v>
      </c>
      <c r="G40" s="34">
        <f t="shared" si="4"/>
        <v>-0.161191293854606</v>
      </c>
      <c r="H40" s="34">
        <f t="shared" si="5"/>
        <v>0.0259826332145219</v>
      </c>
      <c r="I40" s="34">
        <f t="shared" si="6"/>
        <v>1.85084603453655e-24</v>
      </c>
      <c r="J40" s="34">
        <f t="shared" si="7"/>
        <v>9.28333333333333e-21</v>
      </c>
      <c r="K40" s="34">
        <f t="shared" si="8"/>
        <v>1.54624125874126</v>
      </c>
      <c r="L40" s="34">
        <f t="shared" si="9"/>
        <v>0.377824768251527</v>
      </c>
      <c r="M40" s="34">
        <f t="shared" si="10"/>
        <v>0.244350463496946</v>
      </c>
      <c r="N40" s="5">
        <f t="shared" si="11"/>
        <v>-1.40915175841103</v>
      </c>
      <c r="O40" s="35">
        <f t="shared" si="12"/>
        <v>4.78012079333399e-21</v>
      </c>
    </row>
    <row r="41" spans="1:15">
      <c r="A41" s="14">
        <v>30</v>
      </c>
      <c r="B41" s="36">
        <f t="shared" si="13"/>
        <v>3e-8</v>
      </c>
      <c r="C41" s="36">
        <f t="shared" si="0"/>
        <v>-0.525471523663059</v>
      </c>
      <c r="D41" s="36">
        <f t="shared" si="1"/>
        <v>-2.16251499905248e-21</v>
      </c>
      <c r="E41" s="36">
        <f t="shared" si="2"/>
        <v>6.15337640330251e-18</v>
      </c>
      <c r="F41" s="36">
        <f t="shared" si="3"/>
        <v>3.9387686503583e-8</v>
      </c>
      <c r="G41" s="36">
        <f t="shared" si="4"/>
        <v>-0.161191293854606</v>
      </c>
      <c r="H41" s="36">
        <f t="shared" si="5"/>
        <v>0.0259826332145219</v>
      </c>
      <c r="I41" s="36">
        <f t="shared" si="6"/>
        <v>6.29733963828373e-27</v>
      </c>
      <c r="J41" s="36">
        <f t="shared" si="7"/>
        <v>9.28333333333333e-21</v>
      </c>
      <c r="K41" s="36">
        <f t="shared" si="8"/>
        <v>0.996002252252253</v>
      </c>
      <c r="L41" s="36">
        <f t="shared" si="9"/>
        <v>0.332887952124657</v>
      </c>
      <c r="M41" s="36">
        <f t="shared" si="10"/>
        <v>0.334224095750687</v>
      </c>
      <c r="N41" s="10">
        <f t="shared" si="11"/>
        <v>-1.09594356562731</v>
      </c>
      <c r="O41" s="37">
        <f t="shared" si="12"/>
        <v>2.16252129639212e-21</v>
      </c>
    </row>
    <row r="42" spans="1:15">
      <c r="A42" s="15">
        <v>40</v>
      </c>
      <c r="B42" s="34">
        <f t="shared" si="13"/>
        <v>4e-8</v>
      </c>
      <c r="C42" s="34">
        <f t="shared" si="0"/>
        <v>-0.279686281742762</v>
      </c>
      <c r="D42" s="34">
        <f t="shared" si="1"/>
        <v>-1.15101533015853e-21</v>
      </c>
      <c r="E42" s="34">
        <f t="shared" si="2"/>
        <v>6.15337640330251e-18</v>
      </c>
      <c r="F42" s="34">
        <f t="shared" si="3"/>
        <v>1.3401311338218e-10</v>
      </c>
      <c r="G42" s="34">
        <f t="shared" si="4"/>
        <v>-0.161191293854606</v>
      </c>
      <c r="H42" s="34">
        <f t="shared" si="5"/>
        <v>0.0259826332145219</v>
      </c>
      <c r="I42" s="34">
        <f t="shared" si="6"/>
        <v>2.1426140143434e-29</v>
      </c>
      <c r="J42" s="34">
        <f t="shared" si="7"/>
        <v>9.28333333333333e-21</v>
      </c>
      <c r="K42" s="34">
        <f t="shared" si="8"/>
        <v>0.722589869281046</v>
      </c>
      <c r="L42" s="34">
        <f t="shared" si="9"/>
        <v>0.295516054662702</v>
      </c>
      <c r="M42" s="34">
        <f t="shared" si="10"/>
        <v>0.408967890674596</v>
      </c>
      <c r="N42" s="5">
        <f t="shared" si="11"/>
        <v>-0.894118632929241</v>
      </c>
      <c r="O42" s="35">
        <f t="shared" si="12"/>
        <v>1.15101535158467e-21</v>
      </c>
    </row>
    <row r="43" spans="1:15">
      <c r="A43" s="14">
        <v>50</v>
      </c>
      <c r="B43" s="36">
        <f t="shared" si="13"/>
        <v>5e-8</v>
      </c>
      <c r="C43" s="36">
        <f t="shared" si="0"/>
        <v>-0.163933355230625</v>
      </c>
      <c r="D43" s="36">
        <f t="shared" si="1"/>
        <v>-6.74648051449009e-22</v>
      </c>
      <c r="E43" s="36">
        <f t="shared" si="2"/>
        <v>6.15337640330251e-18</v>
      </c>
      <c r="F43" s="36">
        <f t="shared" si="3"/>
        <v>4.55967744049944e-13</v>
      </c>
      <c r="G43" s="36">
        <f t="shared" si="4"/>
        <v>-0.161191293854606</v>
      </c>
      <c r="H43" s="36">
        <f t="shared" si="5"/>
        <v>0.0259826332145219</v>
      </c>
      <c r="I43" s="36">
        <f t="shared" si="6"/>
        <v>7.2900543374725e-32</v>
      </c>
      <c r="J43" s="36">
        <f t="shared" si="7"/>
        <v>9.28333333333333e-21</v>
      </c>
      <c r="K43" s="36">
        <f t="shared" si="8"/>
        <v>0.559778481012658</v>
      </c>
      <c r="L43" s="36">
        <f t="shared" si="9"/>
        <v>0.264101645316373</v>
      </c>
      <c r="M43" s="36">
        <f t="shared" si="10"/>
        <v>0.471796709367255</v>
      </c>
      <c r="N43" s="10">
        <f t="shared" si="11"/>
        <v>-0.751207086667784</v>
      </c>
      <c r="O43" s="37">
        <f t="shared" si="12"/>
        <v>6.7464805152191e-22</v>
      </c>
    </row>
    <row r="44" spans="1:15">
      <c r="A44" s="15">
        <v>60</v>
      </c>
      <c r="B44" s="34">
        <f t="shared" si="13"/>
        <v>6e-8</v>
      </c>
      <c r="C44" s="34">
        <f t="shared" si="0"/>
        <v>-0.102585422292125</v>
      </c>
      <c r="D44" s="34">
        <f t="shared" si="1"/>
        <v>-4.22177995192565e-22</v>
      </c>
      <c r="E44" s="34">
        <f t="shared" si="2"/>
        <v>6.15337640330251e-18</v>
      </c>
      <c r="F44" s="34">
        <f t="shared" si="3"/>
        <v>1.55138984810453e-15</v>
      </c>
      <c r="G44" s="34">
        <f t="shared" si="4"/>
        <v>-0.161191293854606</v>
      </c>
      <c r="H44" s="34">
        <f t="shared" si="5"/>
        <v>0.0259826332145219</v>
      </c>
      <c r="I44" s="34">
        <f t="shared" si="6"/>
        <v>2.48037639479305e-34</v>
      </c>
      <c r="J44" s="34">
        <f t="shared" si="7"/>
        <v>9.28333333333333e-21</v>
      </c>
      <c r="K44" s="34">
        <f t="shared" si="8"/>
        <v>0.452172801635992</v>
      </c>
      <c r="L44" s="34">
        <f t="shared" si="9"/>
        <v>0.237442615909152</v>
      </c>
      <c r="M44" s="34">
        <f t="shared" si="10"/>
        <v>0.525114768181696</v>
      </c>
      <c r="N44" s="5">
        <f t="shared" si="11"/>
        <v>-0.644138434220963</v>
      </c>
      <c r="O44" s="35">
        <f t="shared" si="12"/>
        <v>4.22177995192813e-22</v>
      </c>
    </row>
    <row r="45" spans="1:15">
      <c r="A45" s="14">
        <v>70</v>
      </c>
      <c r="B45" s="36">
        <f t="shared" si="13"/>
        <v>7e-8</v>
      </c>
      <c r="C45" s="36">
        <f t="shared" si="0"/>
        <v>-0.0673606769679493</v>
      </c>
      <c r="D45" s="36">
        <f t="shared" si="1"/>
        <v>-2.77214782780359e-22</v>
      </c>
      <c r="E45" s="36">
        <f t="shared" si="2"/>
        <v>6.15337640330251e-18</v>
      </c>
      <c r="F45" s="36">
        <f t="shared" si="3"/>
        <v>5.27846649726643e-18</v>
      </c>
      <c r="G45" s="36">
        <f t="shared" si="4"/>
        <v>-0.161191293854606</v>
      </c>
      <c r="H45" s="36">
        <f t="shared" si="5"/>
        <v>0.0259826332145219</v>
      </c>
      <c r="I45" s="36">
        <f t="shared" si="6"/>
        <v>8.43926090951414e-37</v>
      </c>
      <c r="J45" s="36">
        <f t="shared" si="7"/>
        <v>9.28333333333333e-21</v>
      </c>
      <c r="K45" s="36">
        <f t="shared" si="8"/>
        <v>0.376041666666667</v>
      </c>
      <c r="L45" s="36">
        <f t="shared" si="9"/>
        <v>0.214625445897741</v>
      </c>
      <c r="M45" s="36">
        <f t="shared" si="10"/>
        <v>0.570749108204518</v>
      </c>
      <c r="N45" s="10">
        <f t="shared" si="11"/>
        <v>-0.560805556071011</v>
      </c>
      <c r="O45" s="37">
        <f t="shared" si="12"/>
        <v>2.7721478278036e-22</v>
      </c>
    </row>
    <row r="46" spans="1:15">
      <c r="A46" s="15">
        <v>80</v>
      </c>
      <c r="B46" s="34">
        <f t="shared" si="13"/>
        <v>8e-8</v>
      </c>
      <c r="C46" s="34">
        <f t="shared" si="0"/>
        <v>-0.0459131810514271</v>
      </c>
      <c r="D46" s="34">
        <f t="shared" si="1"/>
        <v>-1.88950187035422e-22</v>
      </c>
      <c r="E46" s="34">
        <f t="shared" si="2"/>
        <v>6.15337640330251e-18</v>
      </c>
      <c r="F46" s="34">
        <f t="shared" si="3"/>
        <v>1.7959514558385e-20</v>
      </c>
      <c r="G46" s="34">
        <f t="shared" si="4"/>
        <v>-0.161191293854606</v>
      </c>
      <c r="H46" s="34">
        <f t="shared" si="5"/>
        <v>0.0259826332145219</v>
      </c>
      <c r="I46" s="34">
        <f t="shared" si="6"/>
        <v>2.87138374838449e-39</v>
      </c>
      <c r="J46" s="34">
        <f t="shared" si="7"/>
        <v>9.28333333333333e-21</v>
      </c>
      <c r="K46" s="34">
        <f t="shared" si="8"/>
        <v>0.319526734104046</v>
      </c>
      <c r="L46" s="34">
        <f t="shared" si="9"/>
        <v>0.19494588816152</v>
      </c>
      <c r="M46" s="34">
        <f t="shared" si="10"/>
        <v>0.61010822367696</v>
      </c>
      <c r="N46" s="5">
        <f t="shared" si="11"/>
        <v>-0.494118921687244</v>
      </c>
      <c r="O46" s="35">
        <f t="shared" si="12"/>
        <v>1.88950187035422e-22</v>
      </c>
    </row>
    <row r="47" spans="1:15">
      <c r="A47" s="14">
        <v>90</v>
      </c>
      <c r="B47" s="36">
        <f t="shared" si="13"/>
        <v>9e-8</v>
      </c>
      <c r="C47" s="36">
        <f t="shared" si="0"/>
        <v>-0.0322493180455997</v>
      </c>
      <c r="D47" s="36">
        <f t="shared" si="1"/>
        <v>-1.327181984985e-22</v>
      </c>
      <c r="E47" s="36">
        <f t="shared" si="2"/>
        <v>6.15337640330251e-18</v>
      </c>
      <c r="F47" s="36">
        <f t="shared" si="3"/>
        <v>6.1105656981982e-23</v>
      </c>
      <c r="G47" s="36">
        <f t="shared" si="4"/>
        <v>-0.161191293854606</v>
      </c>
      <c r="H47" s="36">
        <f t="shared" si="5"/>
        <v>0.0259826332145219</v>
      </c>
      <c r="I47" s="36">
        <f t="shared" si="6"/>
        <v>9.76962878489955e-42</v>
      </c>
      <c r="J47" s="36">
        <f t="shared" si="7"/>
        <v>9.28333333333333e-21</v>
      </c>
      <c r="K47" s="36">
        <f t="shared" si="8"/>
        <v>0.27604556803995</v>
      </c>
      <c r="L47" s="36">
        <f t="shared" si="9"/>
        <v>0.177853968509321</v>
      </c>
      <c r="M47" s="36">
        <f t="shared" si="10"/>
        <v>0.644292062981359</v>
      </c>
      <c r="N47" s="10">
        <f t="shared" si="11"/>
        <v>-0.439603141737942</v>
      </c>
      <c r="O47" s="37">
        <f t="shared" si="12"/>
        <v>1.327181984985e-22</v>
      </c>
    </row>
    <row r="48" spans="1:15">
      <c r="A48" s="15">
        <v>100</v>
      </c>
      <c r="B48" s="34">
        <f t="shared" si="13"/>
        <v>1e-7</v>
      </c>
      <c r="C48" s="34">
        <f t="shared" si="0"/>
        <v>-0.0232225606045174</v>
      </c>
      <c r="D48" s="34">
        <f t="shared" si="1"/>
        <v>-9.5569661460619e-23</v>
      </c>
      <c r="E48" s="34">
        <f t="shared" si="2"/>
        <v>6.15337640330251e-18</v>
      </c>
      <c r="F48" s="34">
        <f t="shared" si="3"/>
        <v>2.07906583613996e-25</v>
      </c>
      <c r="G48" s="34">
        <f t="shared" si="4"/>
        <v>-0.161191293854606</v>
      </c>
      <c r="H48" s="34">
        <f t="shared" si="5"/>
        <v>0.0259826332145219</v>
      </c>
      <c r="I48" s="34">
        <f t="shared" si="6"/>
        <v>3.32402963025886e-44</v>
      </c>
      <c r="J48" s="34">
        <f t="shared" si="7"/>
        <v>9.28333333333333e-21</v>
      </c>
      <c r="K48" s="34">
        <f t="shared" si="8"/>
        <v>0.241653005464481</v>
      </c>
      <c r="L48" s="34">
        <f t="shared" si="9"/>
        <v>0.162915139346829</v>
      </c>
      <c r="M48" s="34">
        <f t="shared" si="10"/>
        <v>0.674169721306342</v>
      </c>
      <c r="N48" s="5">
        <f t="shared" si="11"/>
        <v>-0.394273387741943</v>
      </c>
      <c r="O48" s="35">
        <f t="shared" si="12"/>
        <v>9.5569661460619e-23</v>
      </c>
    </row>
    <row r="49" spans="1:15">
      <c r="A49" s="38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9">
        <f t="shared" si="10"/>
        <v>0</v>
      </c>
      <c r="N49" s="40"/>
      <c r="O49" s="41"/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49"/>
  <sheetViews>
    <sheetView zoomScale="85" zoomScaleNormal="85" topLeftCell="A21" workbookViewId="0">
      <selection activeCell="A25" sqref="A25:O49"/>
    </sheetView>
  </sheetViews>
  <sheetFormatPr defaultColWidth="9.10576923076923" defaultRowHeight="16.8"/>
  <cols>
    <col min="2" max="2" width="36" customWidth="1"/>
    <col min="3" max="3" width="12" customWidth="1"/>
    <col min="4" max="4" width="9.44230769230769" customWidth="1"/>
    <col min="5" max="5" width="22.7788461538462" customWidth="1"/>
    <col min="6" max="6" width="12.5576923076923" customWidth="1"/>
    <col min="7" max="7" width="12" customWidth="1"/>
    <col min="8" max="8" width="26.1057692307692" customWidth="1"/>
    <col min="9" max="9" width="31.7788461538462" customWidth="1"/>
    <col min="10" max="10" width="9.23076923076923"/>
    <col min="11" max="11" width="13.1057692307692" customWidth="1"/>
    <col min="12" max="12" width="16" customWidth="1"/>
    <col min="13" max="13" width="10"/>
    <col min="14" max="14" width="14.0769230769231"/>
    <col min="15" max="15" width="9.23076923076923"/>
  </cols>
  <sheetData>
    <row r="3" spans="1:7">
      <c r="A3" s="1" t="s">
        <v>0</v>
      </c>
      <c r="B3" s="2" t="s">
        <v>1</v>
      </c>
      <c r="C3" s="2" t="s">
        <v>2</v>
      </c>
      <c r="D3" s="2" t="s">
        <v>3</v>
      </c>
      <c r="E3" s="3" t="s">
        <v>70</v>
      </c>
    </row>
    <row r="4" spans="1:7">
      <c r="A4" s="4" t="s">
        <v>5</v>
      </c>
      <c r="B4" s="5" t="s">
        <v>6</v>
      </c>
      <c r="C4" s="6">
        <v>5.57e-20</v>
      </c>
      <c r="D4" s="5" t="s">
        <v>7</v>
      </c>
      <c r="E4" s="7"/>
      <c r="G4" s="8"/>
    </row>
    <row r="5" spans="1:7">
      <c r="A5" s="9" t="s">
        <v>9</v>
      </c>
      <c r="B5" s="10" t="s">
        <v>10</v>
      </c>
      <c r="C5" s="11">
        <f>0.1/1000</f>
        <v>0.0001</v>
      </c>
      <c r="D5" s="10"/>
      <c r="E5" s="12"/>
      <c r="G5" s="8"/>
    </row>
    <row r="6" spans="1:7">
      <c r="A6" s="4" t="s">
        <v>12</v>
      </c>
      <c r="B6" s="5" t="s">
        <v>13</v>
      </c>
      <c r="C6" s="13">
        <f>0.3/1000</f>
        <v>0.0003</v>
      </c>
      <c r="D6" s="5"/>
      <c r="E6" s="7"/>
      <c r="G6" s="8"/>
    </row>
    <row r="7" ht="20" spans="1:7">
      <c r="A7" s="14" t="s">
        <v>15</v>
      </c>
      <c r="B7" s="10" t="s">
        <v>16</v>
      </c>
      <c r="C7" s="11">
        <v>1.381e-23</v>
      </c>
      <c r="D7" s="10" t="s">
        <v>71</v>
      </c>
      <c r="E7" s="12"/>
    </row>
    <row r="8" ht="20" spans="1:7">
      <c r="A8" s="15" t="s">
        <v>19</v>
      </c>
      <c r="B8" s="5"/>
      <c r="C8" s="13">
        <f>C7*C14</f>
        <v>4.0207815e-21</v>
      </c>
      <c r="D8" s="5"/>
      <c r="E8" s="7"/>
    </row>
    <row r="9" spans="1:7">
      <c r="A9" s="9" t="s">
        <v>20</v>
      </c>
      <c r="B9" s="10" t="s">
        <v>21</v>
      </c>
      <c r="C9" s="11">
        <f>C11*C12*1000</f>
        <v>1.806e+23</v>
      </c>
      <c r="D9" s="10" t="s">
        <v>22</v>
      </c>
      <c r="E9" s="12"/>
    </row>
    <row r="10" spans="1:7">
      <c r="A10" s="4"/>
      <c r="B10" s="5" t="s">
        <v>24</v>
      </c>
      <c r="C10" s="5"/>
      <c r="D10" s="5"/>
      <c r="E10" s="7"/>
    </row>
    <row r="11" spans="1:7">
      <c r="A11" s="9"/>
      <c r="B11" s="10" t="s">
        <v>26</v>
      </c>
      <c r="C11" s="11">
        <v>6.02e+23</v>
      </c>
      <c r="D11" s="10"/>
      <c r="E11" s="12"/>
    </row>
    <row r="12" spans="1:7">
      <c r="A12" s="4"/>
      <c r="B12" s="5" t="s">
        <v>28</v>
      </c>
      <c r="C12" s="13">
        <f>3*C5</f>
        <v>0.0003</v>
      </c>
      <c r="D12" s="5"/>
      <c r="E12" s="7"/>
    </row>
    <row r="13" spans="1:7">
      <c r="A13" s="9" t="s">
        <v>30</v>
      </c>
      <c r="B13" s="10" t="s">
        <v>31</v>
      </c>
      <c r="C13" s="11">
        <f>59.78/1000000000</f>
        <v>5.978e-8</v>
      </c>
      <c r="D13" s="10" t="s">
        <v>32</v>
      </c>
      <c r="E13" s="12"/>
    </row>
    <row r="14" spans="1:7">
      <c r="A14" s="4" t="s">
        <v>34</v>
      </c>
      <c r="B14" s="5" t="s">
        <v>35</v>
      </c>
      <c r="C14" s="16">
        <v>291.15</v>
      </c>
      <c r="D14" s="5" t="s">
        <v>36</v>
      </c>
      <c r="E14" s="7"/>
    </row>
    <row r="15" spans="1:7">
      <c r="A15" s="9" t="s">
        <v>38</v>
      </c>
      <c r="B15" s="10"/>
      <c r="C15" s="17">
        <v>2</v>
      </c>
      <c r="D15" s="10"/>
      <c r="E15" s="12"/>
    </row>
    <row r="16" ht="18.75" customHeight="1" spans="1:7">
      <c r="A16" s="4" t="s">
        <v>39</v>
      </c>
      <c r="B16" s="18" t="s">
        <v>40</v>
      </c>
      <c r="C16" s="19">
        <f>C17*C18</f>
        <v>7.0832e-10</v>
      </c>
      <c r="D16" s="18" t="s">
        <v>41</v>
      </c>
      <c r="E16" s="20"/>
      <c r="F16" s="21"/>
      <c r="G16" s="21"/>
    </row>
    <row r="17" ht="21.75" customHeight="1" spans="1:15">
      <c r="A17" s="9"/>
      <c r="B17" s="22" t="s">
        <v>43</v>
      </c>
      <c r="C17" s="23">
        <v>8.854e-12</v>
      </c>
      <c r="D17" s="22"/>
      <c r="E17" s="24"/>
      <c r="F17" s="21"/>
      <c r="G17" s="21"/>
    </row>
    <row r="18" ht="23.25" customHeight="1" spans="1:15">
      <c r="A18" s="4"/>
      <c r="B18" s="18" t="s">
        <v>45</v>
      </c>
      <c r="C18" s="25">
        <v>80</v>
      </c>
      <c r="D18" s="18"/>
      <c r="E18" s="20"/>
      <c r="F18" s="21"/>
      <c r="G18" s="21"/>
    </row>
    <row r="19" ht="17" spans="1:15">
      <c r="A19" s="9" t="s">
        <v>46</v>
      </c>
      <c r="B19" s="10" t="s">
        <v>47</v>
      </c>
      <c r="C19" s="11">
        <f>1/((4.31*POWER(2*C6,-0.5)/10000000000))</f>
        <v>56832708.6492617</v>
      </c>
      <c r="D19" s="10" t="s">
        <v>48</v>
      </c>
      <c r="E19" s="12"/>
    </row>
    <row r="20" spans="1:15">
      <c r="A20" s="4" t="s">
        <v>50</v>
      </c>
      <c r="B20" s="5"/>
      <c r="C20" s="16">
        <v>3.1416</v>
      </c>
      <c r="D20" s="5"/>
      <c r="E20" s="7"/>
    </row>
    <row r="21" ht="18.75" customHeight="1" spans="1:15">
      <c r="A21" s="9" t="s">
        <v>51</v>
      </c>
      <c r="B21" s="26" t="s">
        <v>52</v>
      </c>
      <c r="C21" s="23">
        <f>-10.7/1000</f>
        <v>-0.0107</v>
      </c>
      <c r="D21" s="26" t="s">
        <v>53</v>
      </c>
      <c r="E21" s="27"/>
      <c r="F21" s="28"/>
      <c r="G21" s="28"/>
    </row>
    <row r="22" ht="17.25" customHeight="1" spans="1:15">
      <c r="A22" s="29" t="s">
        <v>55</v>
      </c>
      <c r="B22" s="30"/>
      <c r="C22" s="31">
        <v>1.6e-19</v>
      </c>
      <c r="D22" s="30"/>
      <c r="E22" s="32"/>
      <c r="F22" s="28"/>
      <c r="G22" s="28"/>
    </row>
    <row r="23" ht="17.25" customHeight="1" spans="1:15">
      <c r="A23" s="28"/>
      <c r="B23" s="28"/>
      <c r="C23" s="28"/>
      <c r="D23" s="28"/>
      <c r="E23" s="28"/>
      <c r="F23" s="28"/>
      <c r="G23" s="28"/>
    </row>
    <row r="24" ht="17.25" customHeight="1" spans="1:15">
      <c r="A24" s="28"/>
      <c r="B24" s="28"/>
      <c r="C24" s="28"/>
      <c r="D24" s="28"/>
      <c r="E24" s="28"/>
      <c r="F24" s="28"/>
      <c r="G24" s="28"/>
    </row>
    <row r="25" ht="20" spans="1:15">
      <c r="A25" s="33"/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62</v>
      </c>
      <c r="I25" s="2" t="s">
        <v>63</v>
      </c>
      <c r="J25" s="2" t="s">
        <v>64</v>
      </c>
      <c r="K25" s="2" t="s">
        <v>65</v>
      </c>
      <c r="L25" s="2" t="s">
        <v>66</v>
      </c>
      <c r="M25" s="2" t="s">
        <v>67</v>
      </c>
      <c r="N25" s="2" t="s">
        <v>68</v>
      </c>
      <c r="O25" s="3"/>
    </row>
    <row r="26" spans="1:15">
      <c r="A26" s="15">
        <v>0.0001</v>
      </c>
      <c r="B26" s="34">
        <v>1e-9</v>
      </c>
      <c r="C26" s="34">
        <f t="shared" ref="C26:C48" si="0">D26/$C$8</f>
        <v>-32.45586290447</v>
      </c>
      <c r="D26" s="34">
        <f t="shared" ref="D26:D48" si="1">I26-O26</f>
        <v>-1.30497933132829e-19</v>
      </c>
      <c r="E26" s="34">
        <f t="shared" ref="E26:E48" si="2">64*$C$20*$C$9*$C$13*$C$7*$C$14/$C$19/$C$19</f>
        <v>2.70220492936698e-18</v>
      </c>
      <c r="F26" s="34">
        <f t="shared" ref="F26:F48" si="3">EXP(-$C$19*B26)</f>
        <v>0.944752105002916</v>
      </c>
      <c r="G26" s="34">
        <f t="shared" ref="G26:G48" si="4">(EXP($C$15*$C$22*$C$21/2/$C$7/$C$14)-1)/(EXP($C$15*$C$22*$C$21/2/$C$7/$C$14)+1)</f>
        <v>-0.209734807957829</v>
      </c>
      <c r="H26" s="34">
        <f t="shared" ref="H26:H48" si="5">POWER($G26,2)</f>
        <v>0.0439886896691073</v>
      </c>
      <c r="I26" s="34">
        <f t="shared" ref="I26:I48" si="6">$E26*$F26*$H26</f>
        <v>1.12299332687659e-19</v>
      </c>
      <c r="J26" s="34">
        <f t="shared" ref="J26:J48" si="7">$C$4/6</f>
        <v>9.28333333333333e-21</v>
      </c>
      <c r="K26" s="34">
        <f t="shared" ref="K26:K48" si="8">2*$C$13*$C$13/(B26*B26+4*$C$13*B26)</f>
        <v>29.7655205730468</v>
      </c>
      <c r="L26" s="34">
        <f t="shared" ref="L26:L48" si="9">2*$C$13*$C$13/(B26*B26+4*$C$13*B26+4*$C$13*$C$13)</f>
        <v>0.491739775319687</v>
      </c>
      <c r="M26" s="34">
        <f t="shared" ref="M26:M49" si="10">(B26*B26+4*$C$13*B26)/(B26*B26+4*$C$13*B26+4*$C$13*$C$13)</f>
        <v>0.0165204493606259</v>
      </c>
      <c r="N26" s="5">
        <f t="shared" ref="N26:N48" si="11">LN(M26)</f>
        <v>-4.10315631025284</v>
      </c>
      <c r="O26" s="35">
        <f t="shared" ref="O26:O48" si="12">J26*(K26+L26+N26)</f>
        <v>2.42797265820488e-19</v>
      </c>
    </row>
    <row r="27" spans="1:15">
      <c r="A27" s="14">
        <v>0.001</v>
      </c>
      <c r="B27" s="36">
        <f t="shared" ref="B27:B48" si="13">A27/1000000000</f>
        <v>1e-12</v>
      </c>
      <c r="C27" s="36">
        <f t="shared" si="0"/>
        <v>-68957.0802682457</v>
      </c>
      <c r="D27" s="36">
        <f t="shared" si="1"/>
        <v>-2.77261352636577e-16</v>
      </c>
      <c r="E27" s="36">
        <f t="shared" si="2"/>
        <v>2.70220492936698e-18</v>
      </c>
      <c r="F27" s="36">
        <f t="shared" si="3"/>
        <v>0.999943168906299</v>
      </c>
      <c r="G27" s="36">
        <f t="shared" si="4"/>
        <v>-0.209734807957829</v>
      </c>
      <c r="H27" s="36">
        <f t="shared" si="5"/>
        <v>0.0439886896691073</v>
      </c>
      <c r="I27" s="36">
        <f t="shared" si="6"/>
        <v>1.18859698749667e-19</v>
      </c>
      <c r="J27" s="36">
        <f t="shared" si="7"/>
        <v>9.28333333333333e-21</v>
      </c>
      <c r="K27" s="36">
        <f t="shared" si="8"/>
        <v>29889.8750005227</v>
      </c>
      <c r="L27" s="36">
        <f t="shared" si="9"/>
        <v>0.499991636103595</v>
      </c>
      <c r="M27" s="36">
        <f t="shared" si="10"/>
        <v>1.67277928092657e-5</v>
      </c>
      <c r="N27" s="10">
        <f t="shared" si="11"/>
        <v>-10.9984389817787</v>
      </c>
      <c r="O27" s="37">
        <f t="shared" si="12"/>
        <v>2.77380212335327e-16</v>
      </c>
    </row>
    <row r="28" spans="1:15">
      <c r="A28" s="15">
        <v>0.01</v>
      </c>
      <c r="B28" s="34">
        <f t="shared" si="13"/>
        <v>1e-11</v>
      </c>
      <c r="C28" s="34">
        <f t="shared" si="0"/>
        <v>-6852.35877125919</v>
      </c>
      <c r="D28" s="34">
        <f t="shared" si="1"/>
        <v>-2.75518373788417e-17</v>
      </c>
      <c r="E28" s="34">
        <f t="shared" si="2"/>
        <v>2.70220492936698e-18</v>
      </c>
      <c r="F28" s="34">
        <f t="shared" si="3"/>
        <v>0.999431834380756</v>
      </c>
      <c r="G28" s="34">
        <f t="shared" si="4"/>
        <v>-0.209734807957829</v>
      </c>
      <c r="H28" s="34">
        <f t="shared" si="5"/>
        <v>0.0439886896691073</v>
      </c>
      <c r="I28" s="34">
        <f t="shared" si="6"/>
        <v>1.18798918227777e-19</v>
      </c>
      <c r="J28" s="34">
        <f t="shared" si="7"/>
        <v>9.28333333333333e-21</v>
      </c>
      <c r="K28" s="34">
        <f t="shared" si="8"/>
        <v>2988.87500522728</v>
      </c>
      <c r="L28" s="34">
        <f t="shared" si="9"/>
        <v>0.499916370478925</v>
      </c>
      <c r="M28" s="34">
        <f t="shared" si="10"/>
        <v>0.00016725904214951</v>
      </c>
      <c r="N28" s="5">
        <f t="shared" si="11"/>
        <v>-8.69596679674313</v>
      </c>
      <c r="O28" s="35">
        <f t="shared" si="12"/>
        <v>2.76706362970694e-17</v>
      </c>
    </row>
    <row r="29" spans="1:15">
      <c r="A29" s="14">
        <v>0.1</v>
      </c>
      <c r="B29" s="36">
        <f t="shared" si="13"/>
        <v>1e-10</v>
      </c>
      <c r="C29" s="36">
        <f t="shared" si="0"/>
        <v>-646.816327542174</v>
      </c>
      <c r="D29" s="36">
        <f t="shared" si="1"/>
        <v>-2.60070712367951e-18</v>
      </c>
      <c r="E29" s="36">
        <f t="shared" si="2"/>
        <v>2.70220492936698e-18</v>
      </c>
      <c r="F29" s="36">
        <f t="shared" si="3"/>
        <v>0.994332848367824</v>
      </c>
      <c r="G29" s="36">
        <f t="shared" si="4"/>
        <v>-0.209734807957829</v>
      </c>
      <c r="H29" s="36">
        <f t="shared" si="5"/>
        <v>0.0439886896691073</v>
      </c>
      <c r="I29" s="36">
        <f t="shared" si="6"/>
        <v>1.18192819841117e-19</v>
      </c>
      <c r="J29" s="36">
        <f t="shared" si="7"/>
        <v>9.28333333333333e-21</v>
      </c>
      <c r="K29" s="36">
        <f t="shared" si="8"/>
        <v>298.775052253156</v>
      </c>
      <c r="L29" s="36">
        <f t="shared" si="9"/>
        <v>0.499164648044941</v>
      </c>
      <c r="M29" s="36">
        <f t="shared" si="10"/>
        <v>0.00167070391011761</v>
      </c>
      <c r="N29" s="10">
        <f t="shared" si="11"/>
        <v>-6.3945102382965</v>
      </c>
      <c r="O29" s="37">
        <f t="shared" si="12"/>
        <v>2.71889994352063e-18</v>
      </c>
    </row>
    <row r="30" spans="1:15">
      <c r="A30" s="15">
        <v>1</v>
      </c>
      <c r="B30" s="34">
        <f t="shared" si="13"/>
        <v>1e-9</v>
      </c>
      <c r="C30" s="34">
        <f t="shared" si="0"/>
        <v>-32.45586290447</v>
      </c>
      <c r="D30" s="34">
        <f t="shared" si="1"/>
        <v>-1.30497933132829e-19</v>
      </c>
      <c r="E30" s="34">
        <f t="shared" si="2"/>
        <v>2.70220492936698e-18</v>
      </c>
      <c r="F30" s="34">
        <f t="shared" si="3"/>
        <v>0.944752105002916</v>
      </c>
      <c r="G30" s="34">
        <f t="shared" si="4"/>
        <v>-0.209734807957829</v>
      </c>
      <c r="H30" s="34">
        <f t="shared" si="5"/>
        <v>0.0439886896691073</v>
      </c>
      <c r="I30" s="34">
        <f t="shared" si="6"/>
        <v>1.12299332687659e-19</v>
      </c>
      <c r="J30" s="34">
        <f t="shared" si="7"/>
        <v>9.28333333333333e-21</v>
      </c>
      <c r="K30" s="34">
        <f t="shared" si="8"/>
        <v>29.7655205730468</v>
      </c>
      <c r="L30" s="34">
        <f t="shared" si="9"/>
        <v>0.491739775319687</v>
      </c>
      <c r="M30" s="34">
        <f t="shared" si="10"/>
        <v>0.0165204493606259</v>
      </c>
      <c r="N30" s="5">
        <f t="shared" si="11"/>
        <v>-4.10315631025284</v>
      </c>
      <c r="O30" s="35">
        <f t="shared" si="12"/>
        <v>2.42797265820488e-19</v>
      </c>
    </row>
    <row r="31" spans="1:15">
      <c r="A31" s="14">
        <v>2</v>
      </c>
      <c r="B31" s="36">
        <f t="shared" si="13"/>
        <v>2e-9</v>
      </c>
      <c r="C31" s="36">
        <f t="shared" si="0"/>
        <v>-1.04774207230078</v>
      </c>
      <c r="D31" s="36">
        <f t="shared" si="1"/>
        <v>-4.21274194107863e-21</v>
      </c>
      <c r="E31" s="36">
        <f t="shared" si="2"/>
        <v>2.70220492936698e-18</v>
      </c>
      <c r="F31" s="36">
        <f t="shared" si="3"/>
        <v>0.892556539907441</v>
      </c>
      <c r="G31" s="36">
        <f t="shared" si="4"/>
        <v>-0.209734807957829</v>
      </c>
      <c r="H31" s="36">
        <f t="shared" si="5"/>
        <v>0.0439886896691073</v>
      </c>
      <c r="I31" s="36">
        <f t="shared" si="6"/>
        <v>1.06095030947089e-19</v>
      </c>
      <c r="J31" s="36">
        <f t="shared" si="7"/>
        <v>9.28333333333333e-21</v>
      </c>
      <c r="K31" s="36">
        <f t="shared" si="8"/>
        <v>14.8210368281354</v>
      </c>
      <c r="L31" s="36">
        <f t="shared" si="9"/>
        <v>0.48368256647351</v>
      </c>
      <c r="M31" s="36">
        <f t="shared" si="10"/>
        <v>0.0326348670529795</v>
      </c>
      <c r="N31" s="10">
        <f t="shared" si="11"/>
        <v>-3.42237402065905</v>
      </c>
      <c r="O31" s="37">
        <f t="shared" si="12"/>
        <v>1.10307772888168e-19</v>
      </c>
    </row>
    <row r="32" spans="1:15">
      <c r="A32" s="15">
        <v>3</v>
      </c>
      <c r="B32" s="34">
        <f t="shared" si="13"/>
        <v>3e-9</v>
      </c>
      <c r="C32" s="34">
        <f t="shared" si="0"/>
        <v>8.10540123498538</v>
      </c>
      <c r="D32" s="34">
        <f t="shared" si="1"/>
        <v>3.25900473357064e-20</v>
      </c>
      <c r="E32" s="34">
        <f t="shared" si="2"/>
        <v>2.70220492936698e-18</v>
      </c>
      <c r="F32" s="34">
        <f t="shared" si="3"/>
        <v>0.843244669911674</v>
      </c>
      <c r="G32" s="34">
        <f t="shared" si="4"/>
        <v>-0.209734807957829</v>
      </c>
      <c r="H32" s="34">
        <f t="shared" si="5"/>
        <v>0.0439886896691073</v>
      </c>
      <c r="I32" s="34">
        <f t="shared" si="6"/>
        <v>1.00233503817612e-19</v>
      </c>
      <c r="J32" s="34">
        <f t="shared" si="7"/>
        <v>9.28333333333333e-21</v>
      </c>
      <c r="K32" s="34">
        <f t="shared" si="8"/>
        <v>9.83988215210088</v>
      </c>
      <c r="L32" s="34">
        <f t="shared" si="9"/>
        <v>0.475821774724076</v>
      </c>
      <c r="M32" s="34">
        <f t="shared" si="10"/>
        <v>0.0483564505518478</v>
      </c>
      <c r="N32" s="5">
        <f t="shared" si="11"/>
        <v>-3.02915565229297</v>
      </c>
      <c r="O32" s="35">
        <f t="shared" si="12"/>
        <v>6.76434564819054e-20</v>
      </c>
    </row>
    <row r="33" spans="1:15">
      <c r="A33" s="14">
        <v>4</v>
      </c>
      <c r="B33" s="36">
        <f t="shared" si="13"/>
        <v>4e-9</v>
      </c>
      <c r="C33" s="36">
        <f t="shared" si="0"/>
        <v>11.8593993405848</v>
      </c>
      <c r="D33" s="36">
        <f t="shared" si="1"/>
        <v>4.76840534697354e-20</v>
      </c>
      <c r="E33" s="36">
        <f t="shared" si="2"/>
        <v>2.70220492936698e-18</v>
      </c>
      <c r="F33" s="36">
        <f t="shared" si="3"/>
        <v>0.796657176931543</v>
      </c>
      <c r="G33" s="36">
        <f t="shared" si="4"/>
        <v>-0.209734807957829</v>
      </c>
      <c r="H33" s="36">
        <f t="shared" si="5"/>
        <v>0.0439886896691073</v>
      </c>
      <c r="I33" s="36">
        <f t="shared" si="6"/>
        <v>9.46958137235065e-20</v>
      </c>
      <c r="J33" s="36">
        <f t="shared" si="7"/>
        <v>9.28333333333333e-21</v>
      </c>
      <c r="K33" s="36">
        <f t="shared" si="8"/>
        <v>7.34955659756499</v>
      </c>
      <c r="L33" s="36">
        <f t="shared" si="9"/>
        <v>0.468151067274609</v>
      </c>
      <c r="M33" s="36">
        <f t="shared" si="10"/>
        <v>0.0636978654507829</v>
      </c>
      <c r="N33" s="10">
        <f t="shared" si="11"/>
        <v>-2.75360422637233</v>
      </c>
      <c r="O33" s="37">
        <f t="shared" si="12"/>
        <v>4.70117602537711e-20</v>
      </c>
    </row>
    <row r="34" spans="1:15">
      <c r="A34" s="15">
        <v>5</v>
      </c>
      <c r="B34" s="34">
        <f t="shared" si="13"/>
        <v>5e-9</v>
      </c>
      <c r="C34" s="34">
        <f t="shared" si="0"/>
        <v>13.5374465941211</v>
      </c>
      <c r="D34" s="34">
        <f t="shared" si="1"/>
        <v>5.443111482288e-20</v>
      </c>
      <c r="E34" s="34">
        <f t="shared" si="2"/>
        <v>2.70220492936698e-18</v>
      </c>
      <c r="F34" s="34">
        <f t="shared" si="3"/>
        <v>0.752643544871756</v>
      </c>
      <c r="G34" s="34">
        <f t="shared" si="4"/>
        <v>-0.209734807957829</v>
      </c>
      <c r="H34" s="34">
        <f t="shared" si="5"/>
        <v>0.0439886896691073</v>
      </c>
      <c r="I34" s="34">
        <f t="shared" si="6"/>
        <v>8.94640693502468e-20</v>
      </c>
      <c r="J34" s="34">
        <f t="shared" si="7"/>
        <v>9.28333333333333e-21</v>
      </c>
      <c r="K34" s="34">
        <f t="shared" si="8"/>
        <v>5.85556021628707</v>
      </c>
      <c r="L34" s="34">
        <f t="shared" si="9"/>
        <v>0.460664364510411</v>
      </c>
      <c r="M34" s="34">
        <f t="shared" si="10"/>
        <v>0.0786712709791775</v>
      </c>
      <c r="N34" s="5">
        <f t="shared" si="11"/>
        <v>-2.54247723494109</v>
      </c>
      <c r="O34" s="35">
        <f t="shared" si="12"/>
        <v>3.50329545273668e-20</v>
      </c>
    </row>
    <row r="35" spans="1:15">
      <c r="A35" s="14">
        <v>6</v>
      </c>
      <c r="B35" s="36">
        <f t="shared" si="13"/>
        <v>6e-9</v>
      </c>
      <c r="C35" s="36">
        <f t="shared" si="0"/>
        <v>14.230785540477</v>
      </c>
      <c r="D35" s="36">
        <f t="shared" si="1"/>
        <v>5.72188792316175e-20</v>
      </c>
      <c r="E35" s="36">
        <f t="shared" si="2"/>
        <v>2.70220492936698e-18</v>
      </c>
      <c r="F35" s="36">
        <f t="shared" si="3"/>
        <v>0.711061573334448</v>
      </c>
      <c r="G35" s="36">
        <f t="shared" si="4"/>
        <v>-0.209734807957829</v>
      </c>
      <c r="H35" s="36">
        <f t="shared" si="5"/>
        <v>0.0439886896691073</v>
      </c>
      <c r="I35" s="36">
        <f t="shared" si="6"/>
        <v>8.45213678407725e-20</v>
      </c>
      <c r="J35" s="36">
        <f t="shared" si="7"/>
        <v>9.28333333333333e-21</v>
      </c>
      <c r="K35" s="36">
        <f t="shared" si="8"/>
        <v>4.85972639251523</v>
      </c>
      <c r="L35" s="36">
        <f t="shared" si="9"/>
        <v>0.45335582794877</v>
      </c>
      <c r="M35" s="36">
        <f t="shared" si="10"/>
        <v>0.0932883441024605</v>
      </c>
      <c r="N35" s="10">
        <f t="shared" si="11"/>
        <v>-2.37206010816722</v>
      </c>
      <c r="O35" s="37">
        <f t="shared" si="12"/>
        <v>2.73024886091551e-20</v>
      </c>
    </row>
    <row r="36" spans="1:15">
      <c r="A36" s="15">
        <v>7</v>
      </c>
      <c r="B36" s="34">
        <f t="shared" si="13"/>
        <v>7e-9</v>
      </c>
      <c r="C36" s="34">
        <f t="shared" si="0"/>
        <v>14.3991893448164</v>
      </c>
      <c r="D36" s="34">
        <f t="shared" si="1"/>
        <v>5.78959941326349e-20</v>
      </c>
      <c r="E36" s="34">
        <f t="shared" si="2"/>
        <v>2.70220492936698e-18</v>
      </c>
      <c r="F36" s="34">
        <f t="shared" si="3"/>
        <v>0.671776918194405</v>
      </c>
      <c r="G36" s="34">
        <f t="shared" si="4"/>
        <v>-0.209734807957829</v>
      </c>
      <c r="H36" s="34">
        <f t="shared" si="5"/>
        <v>0.0439886896691073</v>
      </c>
      <c r="I36" s="34">
        <f t="shared" si="6"/>
        <v>7.98517401852956e-20</v>
      </c>
      <c r="J36" s="34">
        <f t="shared" si="7"/>
        <v>9.28333333333333e-21</v>
      </c>
      <c r="K36" s="34">
        <f t="shared" si="8"/>
        <v>4.14855517633675</v>
      </c>
      <c r="L36" s="34">
        <f t="shared" si="9"/>
        <v>0.44621984885269</v>
      </c>
      <c r="M36" s="34">
        <f t="shared" si="10"/>
        <v>0.10756030229462</v>
      </c>
      <c r="N36" s="5">
        <f t="shared" si="11"/>
        <v>-2.22970363711108</v>
      </c>
      <c r="O36" s="35">
        <f t="shared" si="12"/>
        <v>2.19557460526607e-20</v>
      </c>
    </row>
    <row r="37" spans="1:15">
      <c r="A37" s="14">
        <v>8</v>
      </c>
      <c r="B37" s="36">
        <f t="shared" si="13"/>
        <v>8e-9</v>
      </c>
      <c r="C37" s="36">
        <f t="shared" si="0"/>
        <v>14.2679555060496</v>
      </c>
      <c r="D37" s="36">
        <f t="shared" si="1"/>
        <v>5.73683315415473e-20</v>
      </c>
      <c r="E37" s="36">
        <f t="shared" si="2"/>
        <v>2.70220492936698e-18</v>
      </c>
      <c r="F37" s="36">
        <f t="shared" si="3"/>
        <v>0.634662657556536</v>
      </c>
      <c r="G37" s="36">
        <f t="shared" si="4"/>
        <v>-0.209734807957829</v>
      </c>
      <c r="H37" s="36">
        <f t="shared" si="5"/>
        <v>0.0439886896691073</v>
      </c>
      <c r="I37" s="36">
        <f t="shared" si="6"/>
        <v>7.5440099628204e-20</v>
      </c>
      <c r="J37" s="36">
        <f t="shared" si="7"/>
        <v>9.28333333333333e-21</v>
      </c>
      <c r="K37" s="36">
        <f t="shared" si="8"/>
        <v>3.61529661702816</v>
      </c>
      <c r="L37" s="36">
        <f t="shared" si="9"/>
        <v>0.439251037467006</v>
      </c>
      <c r="M37" s="36">
        <f t="shared" si="10"/>
        <v>0.121497925065988</v>
      </c>
      <c r="N37" s="10">
        <f t="shared" si="11"/>
        <v>-2.10785809399355</v>
      </c>
      <c r="O37" s="37">
        <f t="shared" si="12"/>
        <v>1.80717680866567e-20</v>
      </c>
    </row>
    <row r="38" spans="1:15">
      <c r="A38" s="15">
        <v>9</v>
      </c>
      <c r="B38" s="34">
        <f t="shared" si="13"/>
        <v>9e-9</v>
      </c>
      <c r="C38" s="34">
        <f t="shared" si="0"/>
        <v>13.9592359094147</v>
      </c>
      <c r="D38" s="34">
        <f t="shared" si="1"/>
        <v>5.61270374987105e-20</v>
      </c>
      <c r="E38" s="34">
        <f t="shared" si="2"/>
        <v>2.70220492936698e-18</v>
      </c>
      <c r="F38" s="34">
        <f t="shared" si="3"/>
        <v>0.599598881693282</v>
      </c>
      <c r="G38" s="34">
        <f t="shared" si="4"/>
        <v>-0.209734807957829</v>
      </c>
      <c r="H38" s="34">
        <f t="shared" si="5"/>
        <v>0.0439886896691073</v>
      </c>
      <c r="I38" s="34">
        <f t="shared" si="6"/>
        <v>7.12721929253754e-20</v>
      </c>
      <c r="J38" s="34">
        <f t="shared" si="7"/>
        <v>9.28333333333333e-21</v>
      </c>
      <c r="K38" s="34">
        <f t="shared" si="8"/>
        <v>3.20064520751608</v>
      </c>
      <c r="L38" s="34">
        <f t="shared" si="9"/>
        <v>0.432444212838279</v>
      </c>
      <c r="M38" s="34">
        <f t="shared" si="10"/>
        <v>0.135111574323443</v>
      </c>
      <c r="N38" s="5">
        <f t="shared" si="11"/>
        <v>-2.00165436541738</v>
      </c>
      <c r="O38" s="35">
        <f t="shared" si="12"/>
        <v>1.51451554266649e-20</v>
      </c>
    </row>
    <row r="39" spans="1:15">
      <c r="A39" s="14">
        <v>10</v>
      </c>
      <c r="B39" s="36">
        <f t="shared" si="13"/>
        <v>1e-8</v>
      </c>
      <c r="C39" s="36">
        <f t="shared" si="0"/>
        <v>13.5441743298152</v>
      </c>
      <c r="D39" s="36">
        <f t="shared" si="1"/>
        <v>5.4458165578096e-20</v>
      </c>
      <c r="E39" s="36">
        <f t="shared" si="2"/>
        <v>2.70220492936698e-18</v>
      </c>
      <c r="F39" s="36">
        <f t="shared" si="3"/>
        <v>0.566472305637123</v>
      </c>
      <c r="G39" s="36">
        <f t="shared" si="4"/>
        <v>-0.209734807957829</v>
      </c>
      <c r="H39" s="36">
        <f t="shared" si="5"/>
        <v>0.0439886896691073</v>
      </c>
      <c r="I39" s="36">
        <f t="shared" si="6"/>
        <v>6.73345542944224e-20</v>
      </c>
      <c r="J39" s="36">
        <f t="shared" si="7"/>
        <v>9.28333333333333e-21</v>
      </c>
      <c r="K39" s="36">
        <f t="shared" si="8"/>
        <v>2.86901766217084</v>
      </c>
      <c r="L39" s="36">
        <f t="shared" si="9"/>
        <v>0.425794393182578</v>
      </c>
      <c r="M39" s="36">
        <f t="shared" si="10"/>
        <v>0.148411213634844</v>
      </c>
      <c r="N39" s="10">
        <f t="shared" si="11"/>
        <v>-1.90776838752652</v>
      </c>
      <c r="O39" s="37">
        <f t="shared" si="12"/>
        <v>1.28763887163263e-20</v>
      </c>
    </row>
    <row r="40" spans="1:15">
      <c r="A40" s="15">
        <v>20</v>
      </c>
      <c r="B40" s="34">
        <f t="shared" si="13"/>
        <v>2e-8</v>
      </c>
      <c r="C40" s="34">
        <f t="shared" si="0"/>
        <v>8.51184349533602</v>
      </c>
      <c r="D40" s="34">
        <f t="shared" si="1"/>
        <v>3.42242628569424e-20</v>
      </c>
      <c r="E40" s="34">
        <f t="shared" si="2"/>
        <v>2.70220492936698e-18</v>
      </c>
      <c r="F40" s="34">
        <f t="shared" si="3"/>
        <v>0.320890873053838</v>
      </c>
      <c r="G40" s="34">
        <f t="shared" si="4"/>
        <v>-0.209734807957829</v>
      </c>
      <c r="H40" s="34">
        <f t="shared" si="5"/>
        <v>0.0439886896691073</v>
      </c>
      <c r="I40" s="34">
        <f t="shared" si="6"/>
        <v>3.81431602202095e-20</v>
      </c>
      <c r="J40" s="34">
        <f t="shared" si="7"/>
        <v>9.28333333333333e-21</v>
      </c>
      <c r="K40" s="34">
        <f t="shared" si="8"/>
        <v>1.37914803951837</v>
      </c>
      <c r="L40" s="34">
        <f t="shared" si="9"/>
        <v>0.366960987243945</v>
      </c>
      <c r="M40" s="34">
        <f t="shared" si="10"/>
        <v>0.26607802551211</v>
      </c>
      <c r="N40" s="5">
        <f t="shared" si="11"/>
        <v>-1.32396568422008</v>
      </c>
      <c r="O40" s="35">
        <f t="shared" si="12"/>
        <v>3.91889736326706e-21</v>
      </c>
    </row>
    <row r="41" spans="1:15">
      <c r="A41" s="14">
        <v>30</v>
      </c>
      <c r="B41" s="36">
        <f t="shared" si="13"/>
        <v>3e-8</v>
      </c>
      <c r="C41" s="36">
        <f t="shared" si="0"/>
        <v>4.94496005206695</v>
      </c>
      <c r="D41" s="36">
        <f t="shared" si="1"/>
        <v>1.98826038955898e-20</v>
      </c>
      <c r="E41" s="36">
        <f t="shared" si="2"/>
        <v>2.70220492936698e-18</v>
      </c>
      <c r="F41" s="36">
        <f t="shared" si="3"/>
        <v>0.181775792716717</v>
      </c>
      <c r="G41" s="36">
        <f t="shared" si="4"/>
        <v>-0.209734807957829</v>
      </c>
      <c r="H41" s="36">
        <f t="shared" si="5"/>
        <v>0.0439886896691073</v>
      </c>
      <c r="I41" s="36">
        <f t="shared" si="6"/>
        <v>2.16070439142283e-20</v>
      </c>
      <c r="J41" s="36">
        <f t="shared" si="7"/>
        <v>9.28333333333333e-21</v>
      </c>
      <c r="K41" s="36">
        <f t="shared" si="8"/>
        <v>0.885267637732858</v>
      </c>
      <c r="L41" s="36">
        <f t="shared" si="9"/>
        <v>0.319529459008259</v>
      </c>
      <c r="M41" s="36">
        <f t="shared" si="10"/>
        <v>0.360941081983482</v>
      </c>
      <c r="N41" s="10">
        <f t="shared" si="11"/>
        <v>-1.01904054177109</v>
      </c>
      <c r="O41" s="37">
        <f t="shared" si="12"/>
        <v>1.72444001863844e-21</v>
      </c>
    </row>
    <row r="42" spans="1:15">
      <c r="A42" s="15">
        <v>40</v>
      </c>
      <c r="B42" s="34">
        <f t="shared" si="13"/>
        <v>4e-8</v>
      </c>
      <c r="C42" s="34">
        <f t="shared" si="0"/>
        <v>2.82115001681707</v>
      </c>
      <c r="D42" s="34">
        <f t="shared" si="1"/>
        <v>1.13432277963428e-20</v>
      </c>
      <c r="E42" s="34">
        <f t="shared" si="2"/>
        <v>2.70220492936698e-18</v>
      </c>
      <c r="F42" s="34">
        <f t="shared" si="3"/>
        <v>0.102970952409254</v>
      </c>
      <c r="G42" s="34">
        <f t="shared" si="4"/>
        <v>-0.209734807957829</v>
      </c>
      <c r="H42" s="34">
        <f t="shared" si="5"/>
        <v>0.0439886896691073</v>
      </c>
      <c r="I42" s="34">
        <f t="shared" si="6"/>
        <v>1.22397919840954e-20</v>
      </c>
      <c r="J42" s="34">
        <f t="shared" si="7"/>
        <v>9.28333333333333e-21</v>
      </c>
      <c r="K42" s="34">
        <f t="shared" si="8"/>
        <v>0.640163442247062</v>
      </c>
      <c r="L42" s="34">
        <f t="shared" si="9"/>
        <v>0.280733190754394</v>
      </c>
      <c r="M42" s="34">
        <f t="shared" si="10"/>
        <v>0.438533618491212</v>
      </c>
      <c r="N42" s="5">
        <f t="shared" si="11"/>
        <v>-0.824318803081957</v>
      </c>
      <c r="O42" s="35">
        <f t="shared" si="12"/>
        <v>8.96564187752687e-22</v>
      </c>
    </row>
    <row r="43" spans="1:15">
      <c r="A43" s="14">
        <v>50</v>
      </c>
      <c r="B43" s="36">
        <f t="shared" si="13"/>
        <v>5e-8</v>
      </c>
      <c r="C43" s="36">
        <f t="shared" si="0"/>
        <v>1.59635720365591</v>
      </c>
      <c r="D43" s="36">
        <f t="shared" si="1"/>
        <v>6.4186035118514e-21</v>
      </c>
      <c r="E43" s="36">
        <f t="shared" si="2"/>
        <v>2.70220492936698e-18</v>
      </c>
      <c r="F43" s="36">
        <f t="shared" si="3"/>
        <v>0.0583301928249208</v>
      </c>
      <c r="G43" s="36">
        <f t="shared" si="4"/>
        <v>-0.209734807957829</v>
      </c>
      <c r="H43" s="36">
        <f t="shared" si="5"/>
        <v>0.0439886896691073</v>
      </c>
      <c r="I43" s="36">
        <f t="shared" si="6"/>
        <v>6.93350318574932e-21</v>
      </c>
      <c r="J43" s="36">
        <f t="shared" si="7"/>
        <v>9.28333333333333e-21</v>
      </c>
      <c r="K43" s="36">
        <f t="shared" si="8"/>
        <v>0.494417321527393</v>
      </c>
      <c r="L43" s="36">
        <f t="shared" si="9"/>
        <v>0.248596495065062</v>
      </c>
      <c r="M43" s="36">
        <f t="shared" si="10"/>
        <v>0.502807009869876</v>
      </c>
      <c r="N43" s="10">
        <f t="shared" si="11"/>
        <v>-0.687548860696808</v>
      </c>
      <c r="O43" s="37">
        <f t="shared" si="12"/>
        <v>5.14899673897923e-22</v>
      </c>
    </row>
    <row r="44" spans="1:15">
      <c r="A44" s="15">
        <v>60</v>
      </c>
      <c r="B44" s="34">
        <f t="shared" si="13"/>
        <v>6e-8</v>
      </c>
      <c r="C44" s="34">
        <f t="shared" si="0"/>
        <v>0.898128854523352</v>
      </c>
      <c r="D44" s="34">
        <f t="shared" si="1"/>
        <v>3.61117988288368e-21</v>
      </c>
      <c r="E44" s="34">
        <f t="shared" si="2"/>
        <v>2.70220492936698e-18</v>
      </c>
      <c r="F44" s="34">
        <f t="shared" si="3"/>
        <v>0.0330424388177908</v>
      </c>
      <c r="G44" s="34">
        <f t="shared" si="4"/>
        <v>-0.209734807957829</v>
      </c>
      <c r="H44" s="34">
        <f t="shared" si="5"/>
        <v>0.0439886896691073</v>
      </c>
      <c r="I44" s="34">
        <f t="shared" si="6"/>
        <v>3.92763753577375e-21</v>
      </c>
      <c r="J44" s="34">
        <f t="shared" si="7"/>
        <v>9.28333333333333e-21</v>
      </c>
      <c r="K44" s="34">
        <f t="shared" si="8"/>
        <v>0.39824021574396</v>
      </c>
      <c r="L44" s="34">
        <f t="shared" si="9"/>
        <v>0.221678014835998</v>
      </c>
      <c r="M44" s="34">
        <f t="shared" si="10"/>
        <v>0.556643970328003</v>
      </c>
      <c r="N44" s="5">
        <f t="shared" si="11"/>
        <v>-0.585829434936504</v>
      </c>
      <c r="O44" s="35">
        <f t="shared" si="12"/>
        <v>3.16457652890071e-22</v>
      </c>
    </row>
    <row r="45" spans="1:15">
      <c r="A45" s="14">
        <v>70</v>
      </c>
      <c r="B45" s="36">
        <f t="shared" si="13"/>
        <v>7e-8</v>
      </c>
      <c r="C45" s="36">
        <f t="shared" si="0"/>
        <v>0.502495141154228</v>
      </c>
      <c r="D45" s="36">
        <f t="shared" si="1"/>
        <v>2.02042316739281e-21</v>
      </c>
      <c r="E45" s="36">
        <f t="shared" si="2"/>
        <v>2.70220492936698e-18</v>
      </c>
      <c r="F45" s="36">
        <f t="shared" si="3"/>
        <v>0.0187176265009875</v>
      </c>
      <c r="G45" s="36">
        <f t="shared" si="4"/>
        <v>-0.209734807957829</v>
      </c>
      <c r="H45" s="36">
        <f t="shared" si="5"/>
        <v>0.0439886896691073</v>
      </c>
      <c r="I45" s="36">
        <f t="shared" si="6"/>
        <v>2.22489789059667e-21</v>
      </c>
      <c r="J45" s="36">
        <f t="shared" si="7"/>
        <v>9.28333333333333e-21</v>
      </c>
      <c r="K45" s="36">
        <f t="shared" si="8"/>
        <v>0.33030615942029</v>
      </c>
      <c r="L45" s="36">
        <f t="shared" si="9"/>
        <v>0.198906244204491</v>
      </c>
      <c r="M45" s="36">
        <f t="shared" si="10"/>
        <v>0.602187511591019</v>
      </c>
      <c r="N45" s="10">
        <f t="shared" si="11"/>
        <v>-0.507186401125263</v>
      </c>
      <c r="O45" s="37">
        <f t="shared" si="12"/>
        <v>2.04474723203857e-22</v>
      </c>
    </row>
    <row r="46" spans="1:15">
      <c r="A46" s="15">
        <v>80</v>
      </c>
      <c r="B46" s="34">
        <f t="shared" si="13"/>
        <v>8e-8</v>
      </c>
      <c r="C46" s="34">
        <f t="shared" si="0"/>
        <v>0.279294842941502</v>
      </c>
      <c r="D46" s="34">
        <f t="shared" si="1"/>
        <v>1.1229835375446e-21</v>
      </c>
      <c r="E46" s="34">
        <f t="shared" si="2"/>
        <v>2.70220492936698e-18</v>
      </c>
      <c r="F46" s="34">
        <f t="shared" si="3"/>
        <v>0.0106030170400689</v>
      </c>
      <c r="G46" s="34">
        <f t="shared" si="4"/>
        <v>-0.209734807957829</v>
      </c>
      <c r="H46" s="34">
        <f t="shared" si="5"/>
        <v>0.0439886896691073</v>
      </c>
      <c r="I46" s="34">
        <f t="shared" si="6"/>
        <v>1.26034303789346e-21</v>
      </c>
      <c r="J46" s="34">
        <f t="shared" si="7"/>
        <v>9.28333333333333e-21</v>
      </c>
      <c r="K46" s="34">
        <f t="shared" si="8"/>
        <v>0.279961174479819</v>
      </c>
      <c r="L46" s="34">
        <f t="shared" si="9"/>
        <v>0.179471224748164</v>
      </c>
      <c r="M46" s="34">
        <f t="shared" si="10"/>
        <v>0.641057550503672</v>
      </c>
      <c r="N46" s="5">
        <f t="shared" si="11"/>
        <v>-0.44463604371464</v>
      </c>
      <c r="O46" s="35">
        <f t="shared" si="12"/>
        <v>1.37359500348869e-22</v>
      </c>
    </row>
    <row r="47" spans="1:15">
      <c r="A47" s="14">
        <v>90</v>
      </c>
      <c r="B47" s="36">
        <f t="shared" si="13"/>
        <v>9e-8</v>
      </c>
      <c r="C47" s="36">
        <f t="shared" si="0"/>
        <v>0.153884027091605</v>
      </c>
      <c r="D47" s="36">
        <f t="shared" si="1"/>
        <v>6.18734049275424e-22</v>
      </c>
      <c r="E47" s="36">
        <f t="shared" si="2"/>
        <v>2.70220492936698e-18</v>
      </c>
      <c r="F47" s="36">
        <f t="shared" si="3"/>
        <v>0.00600631550939755</v>
      </c>
      <c r="G47" s="36">
        <f t="shared" si="4"/>
        <v>-0.209734807957829</v>
      </c>
      <c r="H47" s="36">
        <f t="shared" si="5"/>
        <v>0.0439886896691073</v>
      </c>
      <c r="I47" s="36">
        <f t="shared" si="6"/>
        <v>7.13949426569207e-22</v>
      </c>
      <c r="J47" s="36">
        <f t="shared" si="7"/>
        <v>9.28333333333333e-21</v>
      </c>
      <c r="K47" s="36">
        <f t="shared" si="8"/>
        <v>0.241293172365365</v>
      </c>
      <c r="L47" s="36">
        <f t="shared" si="9"/>
        <v>0.162751514084118</v>
      </c>
      <c r="M47" s="36">
        <f t="shared" si="10"/>
        <v>0.674496971831763</v>
      </c>
      <c r="N47" s="10">
        <f t="shared" si="11"/>
        <v>-0.393788092845126</v>
      </c>
      <c r="O47" s="37">
        <f t="shared" si="12"/>
        <v>9.52153772937828e-23</v>
      </c>
    </row>
    <row r="48" spans="1:15">
      <c r="A48" s="15">
        <v>100</v>
      </c>
      <c r="B48" s="34">
        <f t="shared" si="13"/>
        <v>1e-7</v>
      </c>
      <c r="C48" s="34">
        <f t="shared" si="0"/>
        <v>0.0837377006405685</v>
      </c>
      <c r="D48" s="34">
        <f t="shared" si="1"/>
        <v>3.36690997588136e-22</v>
      </c>
      <c r="E48" s="34">
        <f t="shared" si="2"/>
        <v>2.70220492936698e-18</v>
      </c>
      <c r="F48" s="34">
        <f t="shared" si="3"/>
        <v>0.00340241139499244</v>
      </c>
      <c r="G48" s="34">
        <f t="shared" si="4"/>
        <v>-0.209734807957829</v>
      </c>
      <c r="H48" s="34">
        <f t="shared" si="5"/>
        <v>0.0439886896691073</v>
      </c>
      <c r="I48" s="34">
        <f t="shared" si="6"/>
        <v>4.0443257777696e-22</v>
      </c>
      <c r="J48" s="34">
        <f t="shared" si="7"/>
        <v>9.28333333333333e-21</v>
      </c>
      <c r="K48" s="34">
        <f t="shared" si="8"/>
        <v>0.210760108516159</v>
      </c>
      <c r="L48" s="34">
        <f t="shared" si="9"/>
        <v>0.148263883967939</v>
      </c>
      <c r="M48" s="34">
        <f t="shared" si="10"/>
        <v>0.703472232064122</v>
      </c>
      <c r="N48" s="5">
        <f t="shared" si="11"/>
        <v>-0.351726874330904</v>
      </c>
      <c r="O48" s="35">
        <f t="shared" si="12"/>
        <v>6.77415801888244e-23</v>
      </c>
    </row>
    <row r="49" spans="1:15">
      <c r="A49" s="38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9">
        <f t="shared" si="10"/>
        <v>0</v>
      </c>
      <c r="N49" s="40"/>
      <c r="O49" s="41"/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49"/>
  <sheetViews>
    <sheetView zoomScale="85" zoomScaleNormal="85" topLeftCell="A18" workbookViewId="0">
      <selection activeCell="A25" sqref="A25:O49"/>
    </sheetView>
  </sheetViews>
  <sheetFormatPr defaultColWidth="9.10576923076923" defaultRowHeight="16.8"/>
  <cols>
    <col min="2" max="2" width="36" customWidth="1"/>
    <col min="3" max="3" width="12" customWidth="1"/>
    <col min="4" max="4" width="9.44230769230769" customWidth="1"/>
    <col min="5" max="5" width="22.7788461538462" customWidth="1"/>
    <col min="6" max="6" width="12.5576923076923" customWidth="1"/>
    <col min="7" max="7" width="12" customWidth="1"/>
    <col min="8" max="8" width="26.1057692307692" customWidth="1"/>
    <col min="9" max="9" width="31.7788461538462" customWidth="1"/>
    <col min="10" max="10" width="9.23076923076923"/>
    <col min="11" max="11" width="13.1057692307692" customWidth="1"/>
    <col min="12" max="12" width="16" customWidth="1"/>
    <col min="13" max="13" width="10"/>
    <col min="14" max="14" width="14.0769230769231"/>
    <col min="15" max="15" width="9.23076923076923"/>
  </cols>
  <sheetData>
    <row r="3" spans="1:7">
      <c r="A3" s="1" t="s">
        <v>0</v>
      </c>
      <c r="B3" s="2" t="s">
        <v>1</v>
      </c>
      <c r="C3" s="2" t="s">
        <v>2</v>
      </c>
      <c r="D3" s="2" t="s">
        <v>3</v>
      </c>
      <c r="E3" s="3" t="s">
        <v>70</v>
      </c>
    </row>
    <row r="4" spans="1:7">
      <c r="A4" s="4" t="s">
        <v>5</v>
      </c>
      <c r="B4" s="5" t="s">
        <v>6</v>
      </c>
      <c r="C4" s="6">
        <v>5.57e-20</v>
      </c>
      <c r="D4" s="5" t="s">
        <v>7</v>
      </c>
      <c r="E4" s="7"/>
      <c r="G4" s="8"/>
    </row>
    <row r="5" spans="1:7">
      <c r="A5" s="9" t="s">
        <v>9</v>
      </c>
      <c r="B5" s="10" t="s">
        <v>10</v>
      </c>
      <c r="C5" s="11">
        <v>0.001</v>
      </c>
      <c r="D5" s="10"/>
      <c r="E5" s="12"/>
      <c r="G5" s="8"/>
    </row>
    <row r="6" spans="1:7">
      <c r="A6" s="4" t="s">
        <v>12</v>
      </c>
      <c r="B6" s="5" t="s">
        <v>13</v>
      </c>
      <c r="C6" s="13">
        <v>0.003</v>
      </c>
      <c r="D6" s="5"/>
      <c r="E6" s="7"/>
      <c r="G6" s="8"/>
    </row>
    <row r="7" ht="20" spans="1:7">
      <c r="A7" s="14" t="s">
        <v>15</v>
      </c>
      <c r="B7" s="10" t="s">
        <v>16</v>
      </c>
      <c r="C7" s="11">
        <v>1.381e-23</v>
      </c>
      <c r="D7" s="10" t="s">
        <v>71</v>
      </c>
      <c r="E7" s="12"/>
    </row>
    <row r="8" ht="20" spans="1:7">
      <c r="A8" s="15" t="s">
        <v>19</v>
      </c>
      <c r="B8" s="5"/>
      <c r="C8" s="13">
        <f>C7*C14</f>
        <v>4.0207815e-21</v>
      </c>
      <c r="D8" s="5"/>
      <c r="E8" s="7"/>
    </row>
    <row r="9" spans="1:7">
      <c r="A9" s="9" t="s">
        <v>20</v>
      </c>
      <c r="B9" s="10" t="s">
        <v>21</v>
      </c>
      <c r="C9" s="11">
        <f>C11*C12*1000</f>
        <v>1.806e+24</v>
      </c>
      <c r="D9" s="10" t="s">
        <v>22</v>
      </c>
      <c r="E9" s="12"/>
    </row>
    <row r="10" spans="1:7">
      <c r="A10" s="4"/>
      <c r="B10" s="5" t="s">
        <v>24</v>
      </c>
      <c r="C10" s="5"/>
      <c r="D10" s="5"/>
      <c r="E10" s="7"/>
    </row>
    <row r="11" spans="1:7">
      <c r="A11" s="9"/>
      <c r="B11" s="10" t="s">
        <v>26</v>
      </c>
      <c r="C11" s="11">
        <v>6.02e+23</v>
      </c>
      <c r="D11" s="10"/>
      <c r="E11" s="12"/>
    </row>
    <row r="12" spans="1:7">
      <c r="A12" s="4"/>
      <c r="B12" s="5" t="s">
        <v>28</v>
      </c>
      <c r="C12" s="13">
        <f>3*C5</f>
        <v>0.003</v>
      </c>
      <c r="D12" s="5"/>
      <c r="E12" s="7"/>
    </row>
    <row r="13" spans="1:7">
      <c r="A13" s="9" t="s">
        <v>30</v>
      </c>
      <c r="B13" s="10" t="s">
        <v>31</v>
      </c>
      <c r="C13" s="11">
        <f>62.7/1000000000</f>
        <v>6.27e-8</v>
      </c>
      <c r="D13" s="10" t="s">
        <v>32</v>
      </c>
      <c r="E13" s="12"/>
    </row>
    <row r="14" spans="1:7">
      <c r="A14" s="4" t="s">
        <v>34</v>
      </c>
      <c r="B14" s="5" t="s">
        <v>35</v>
      </c>
      <c r="C14" s="16">
        <v>291.15</v>
      </c>
      <c r="D14" s="5" t="s">
        <v>36</v>
      </c>
      <c r="E14" s="7"/>
    </row>
    <row r="15" spans="1:7">
      <c r="A15" s="9" t="s">
        <v>38</v>
      </c>
      <c r="B15" s="10"/>
      <c r="C15" s="17">
        <v>2</v>
      </c>
      <c r="D15" s="10"/>
      <c r="E15" s="12"/>
    </row>
    <row r="16" ht="18.75" customHeight="1" spans="1:7">
      <c r="A16" s="4" t="s">
        <v>39</v>
      </c>
      <c r="B16" s="18" t="s">
        <v>40</v>
      </c>
      <c r="C16" s="19">
        <f>C17*C18</f>
        <v>7.0832e-10</v>
      </c>
      <c r="D16" s="18" t="s">
        <v>41</v>
      </c>
      <c r="E16" s="20"/>
      <c r="F16" s="21"/>
      <c r="G16" s="21"/>
    </row>
    <row r="17" ht="21.75" customHeight="1" spans="1:15">
      <c r="A17" s="9"/>
      <c r="B17" s="22" t="s">
        <v>43</v>
      </c>
      <c r="C17" s="23">
        <v>8.854e-12</v>
      </c>
      <c r="D17" s="22"/>
      <c r="E17" s="24"/>
      <c r="F17" s="21"/>
      <c r="G17" s="21"/>
    </row>
    <row r="18" ht="23.25" customHeight="1" spans="1:15">
      <c r="A18" s="4"/>
      <c r="B18" s="18" t="s">
        <v>45</v>
      </c>
      <c r="C18" s="25">
        <v>80</v>
      </c>
      <c r="D18" s="18"/>
      <c r="E18" s="20"/>
      <c r="F18" s="21"/>
      <c r="G18" s="21"/>
    </row>
    <row r="19" ht="17" spans="1:15">
      <c r="A19" s="9" t="s">
        <v>46</v>
      </c>
      <c r="B19" s="10" t="s">
        <v>47</v>
      </c>
      <c r="C19" s="11">
        <f>1/((4.31*POWER(2*C6,-0.5)/10000000000))</f>
        <v>179720804.928418</v>
      </c>
      <c r="D19" s="10" t="s">
        <v>48</v>
      </c>
      <c r="E19" s="12"/>
    </row>
    <row r="20" spans="1:15">
      <c r="A20" s="4" t="s">
        <v>50</v>
      </c>
      <c r="B20" s="5"/>
      <c r="C20" s="16">
        <v>3.1416</v>
      </c>
      <c r="D20" s="5"/>
      <c r="E20" s="7"/>
    </row>
    <row r="21" ht="18.75" customHeight="1" spans="1:15">
      <c r="A21" s="9" t="s">
        <v>51</v>
      </c>
      <c r="B21" s="26" t="s">
        <v>52</v>
      </c>
      <c r="C21" s="23">
        <f>-15.0714/1000</f>
        <v>-0.0150714</v>
      </c>
      <c r="D21" s="26" t="s">
        <v>53</v>
      </c>
      <c r="E21" s="27"/>
      <c r="F21" s="28"/>
      <c r="G21" s="28"/>
    </row>
    <row r="22" ht="17.25" customHeight="1" spans="1:15">
      <c r="A22" s="29" t="s">
        <v>55</v>
      </c>
      <c r="B22" s="30"/>
      <c r="C22" s="31">
        <v>1.6e-19</v>
      </c>
      <c r="D22" s="30"/>
      <c r="E22" s="32"/>
      <c r="F22" s="28"/>
      <c r="G22" s="28"/>
    </row>
    <row r="23" ht="17.25" customHeight="1" spans="1:15">
      <c r="A23" s="28"/>
      <c r="B23" s="28"/>
      <c r="C23" s="28"/>
      <c r="D23" s="28"/>
      <c r="E23" s="28"/>
      <c r="F23" s="28"/>
      <c r="G23" s="28"/>
    </row>
    <row r="24" ht="17.25" customHeight="1" spans="1:15">
      <c r="A24" s="28"/>
      <c r="B24" s="28"/>
      <c r="C24" s="28"/>
      <c r="D24" s="28"/>
      <c r="E24" s="28"/>
      <c r="F24" s="28"/>
      <c r="G24" s="28"/>
    </row>
    <row r="25" ht="20" spans="1:15">
      <c r="A25" s="33"/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62</v>
      </c>
      <c r="I25" s="2" t="s">
        <v>63</v>
      </c>
      <c r="J25" s="2" t="s">
        <v>64</v>
      </c>
      <c r="K25" s="2" t="s">
        <v>65</v>
      </c>
      <c r="L25" s="2" t="s">
        <v>66</v>
      </c>
      <c r="M25" s="2" t="s">
        <v>67</v>
      </c>
      <c r="N25" s="2" t="s">
        <v>68</v>
      </c>
      <c r="O25" s="3"/>
    </row>
    <row r="26" spans="1:15">
      <c r="A26" s="15">
        <v>0.0001</v>
      </c>
      <c r="B26" s="34">
        <v>1e-9</v>
      </c>
      <c r="C26" s="34">
        <f t="shared" ref="C26:C48" si="0">D26/$C$8</f>
        <v>-13.7104878197935</v>
      </c>
      <c r="D26" s="34">
        <f t="shared" ref="D26:D48" si="1">I26-O26</f>
        <v>-5.51268757818012e-20</v>
      </c>
      <c r="E26" s="34">
        <f t="shared" ref="E26:E48" si="2">64*$C$20*$C$9*$C$13*$C$7*$C$14/$C$19/$C$19</f>
        <v>2.83419620393626e-18</v>
      </c>
      <c r="F26" s="34">
        <f t="shared" ref="F26:F48" si="3">EXP(-$C$19*B26)</f>
        <v>0.835503447295377</v>
      </c>
      <c r="G26" s="34">
        <f t="shared" ref="G26:G48" si="4">(EXP($C$15*$C$22*$C$21/2/$C$7/$C$14)-1)/(EXP($C$15*$C$22*$C$21/2/$C$7/$C$14)+1)</f>
        <v>-0.291193697409467</v>
      </c>
      <c r="H26" s="34">
        <f t="shared" ref="H26:H48" si="5">POWER($G26,2)</f>
        <v>0.0847937694109965</v>
      </c>
      <c r="I26" s="34">
        <f t="shared" ref="I26:I48" si="6">$E26*$F26*$H26</f>
        <v>2.00790009335276e-19</v>
      </c>
      <c r="J26" s="34">
        <f t="shared" ref="J26:J48" si="7">$C$4/6</f>
        <v>9.28333333333333e-21</v>
      </c>
      <c r="K26" s="34">
        <f t="shared" ref="K26:K48" si="8">2*$C$13*$C$13/(B26*B26+4*$C$13*B26)</f>
        <v>31.2254964257347</v>
      </c>
      <c r="L26" s="34">
        <f t="shared" ref="L26:L48" si="9">2*$C$13*$C$13/(B26*B26+4*$C$13*B26+4*$C$13*$C$13)</f>
        <v>0.49211990265983</v>
      </c>
      <c r="M26" s="34">
        <f t="shared" ref="M26:M49" si="10">(B26*B26+4*$C$13*B26)/(B26*B26+4*$C$13*B26+4*$C$13*$C$13)</f>
        <v>0.0157601946803397</v>
      </c>
      <c r="N26" s="5">
        <f t="shared" ref="N26:N48" si="11">LN(M26)</f>
        <v>-4.15026784181527</v>
      </c>
      <c r="O26" s="35">
        <f t="shared" ref="O26:O48" si="12">J26*(K26+L26+N26)</f>
        <v>2.55916885117078e-19</v>
      </c>
    </row>
    <row r="27" spans="1:15">
      <c r="A27" s="14">
        <v>0.001</v>
      </c>
      <c r="B27" s="36">
        <f t="shared" ref="B27:B48" si="13">A27/1000000000</f>
        <v>1e-12</v>
      </c>
      <c r="C27" s="36">
        <f t="shared" si="0"/>
        <v>-72297.6757860566</v>
      </c>
      <c r="D27" s="36">
        <f t="shared" si="1"/>
        <v>-2.90693157293574e-16</v>
      </c>
      <c r="E27" s="36">
        <f t="shared" si="2"/>
        <v>2.83419620393626e-18</v>
      </c>
      <c r="F27" s="36">
        <f t="shared" si="3"/>
        <v>0.999820295343888</v>
      </c>
      <c r="G27" s="36">
        <f t="shared" si="4"/>
        <v>-0.291193697409467</v>
      </c>
      <c r="H27" s="36">
        <f t="shared" si="5"/>
        <v>0.0847937694109965</v>
      </c>
      <c r="I27" s="36">
        <f t="shared" si="6"/>
        <v>2.40278992367491e-19</v>
      </c>
      <c r="J27" s="36">
        <f t="shared" si="7"/>
        <v>9.28333333333333e-21</v>
      </c>
      <c r="K27" s="36">
        <f t="shared" si="8"/>
        <v>31349.8750004984</v>
      </c>
      <c r="L27" s="36">
        <f t="shared" si="9"/>
        <v>0.499992025613729</v>
      </c>
      <c r="M27" s="36">
        <f t="shared" si="10"/>
        <v>1.59487725423396e-5</v>
      </c>
      <c r="N27" s="10">
        <f t="shared" si="11"/>
        <v>-11.0461286882879</v>
      </c>
      <c r="O27" s="37">
        <f t="shared" si="12"/>
        <v>2.90933436285942e-16</v>
      </c>
    </row>
    <row r="28" spans="1:15">
      <c r="A28" s="15">
        <v>0.01</v>
      </c>
      <c r="B28" s="34">
        <f t="shared" si="13"/>
        <v>1e-11</v>
      </c>
      <c r="C28" s="34">
        <f t="shared" si="0"/>
        <v>-7159.22257120601</v>
      </c>
      <c r="D28" s="34">
        <f t="shared" si="1"/>
        <v>-2.87856696686876e-17</v>
      </c>
      <c r="E28" s="34">
        <f t="shared" si="2"/>
        <v>2.83419620393626e-18</v>
      </c>
      <c r="F28" s="34">
        <f t="shared" si="3"/>
        <v>0.998204405962053</v>
      </c>
      <c r="G28" s="34">
        <f t="shared" si="4"/>
        <v>-0.291193697409467</v>
      </c>
      <c r="H28" s="34">
        <f t="shared" si="5"/>
        <v>0.0847937694109965</v>
      </c>
      <c r="I28" s="34">
        <f t="shared" si="6"/>
        <v>2.39890658309608e-19</v>
      </c>
      <c r="J28" s="34">
        <f t="shared" si="7"/>
        <v>9.28333333333333e-21</v>
      </c>
      <c r="K28" s="34">
        <f t="shared" si="8"/>
        <v>3134.87500498385</v>
      </c>
      <c r="L28" s="34">
        <f t="shared" si="9"/>
        <v>0.499920264721253</v>
      </c>
      <c r="M28" s="34">
        <f t="shared" si="10"/>
        <v>0.000159470557494788</v>
      </c>
      <c r="N28" s="5">
        <f t="shared" si="11"/>
        <v>-8.74365124528783</v>
      </c>
      <c r="O28" s="35">
        <f t="shared" si="12"/>
        <v>2.90255603269972e-17</v>
      </c>
    </row>
    <row r="29" spans="1:15">
      <c r="A29" s="14">
        <v>0.1</v>
      </c>
      <c r="B29" s="36">
        <f t="shared" si="13"/>
        <v>1e-10</v>
      </c>
      <c r="C29" s="36">
        <f t="shared" si="0"/>
        <v>-651.105536441801</v>
      </c>
      <c r="D29" s="36">
        <f t="shared" si="1"/>
        <v>-2.61795309547277e-18</v>
      </c>
      <c r="E29" s="36">
        <f t="shared" si="2"/>
        <v>2.83419620393626e-18</v>
      </c>
      <c r="F29" s="36">
        <f t="shared" si="3"/>
        <v>0.982188454193074</v>
      </c>
      <c r="G29" s="36">
        <f t="shared" si="4"/>
        <v>-0.291193697409467</v>
      </c>
      <c r="H29" s="36">
        <f t="shared" si="5"/>
        <v>0.0847937694109965</v>
      </c>
      <c r="I29" s="36">
        <f t="shared" si="6"/>
        <v>2.36041669875608e-19</v>
      </c>
      <c r="J29" s="36">
        <f t="shared" si="7"/>
        <v>9.28333333333333e-21</v>
      </c>
      <c r="K29" s="36">
        <f t="shared" si="8"/>
        <v>313.375049820646</v>
      </c>
      <c r="L29" s="36">
        <f t="shared" si="9"/>
        <v>0.499203504706274</v>
      </c>
      <c r="M29" s="36">
        <f t="shared" si="10"/>
        <v>0.00159299058745099</v>
      </c>
      <c r="N29" s="10">
        <f t="shared" si="11"/>
        <v>-6.44214215676535</v>
      </c>
      <c r="O29" s="37">
        <f t="shared" si="12"/>
        <v>2.85399476534838e-18</v>
      </c>
    </row>
    <row r="30" spans="1:15">
      <c r="A30" s="15">
        <v>1</v>
      </c>
      <c r="B30" s="34">
        <f t="shared" si="13"/>
        <v>1e-9</v>
      </c>
      <c r="C30" s="34">
        <f t="shared" si="0"/>
        <v>-13.7104878197935</v>
      </c>
      <c r="D30" s="34">
        <f t="shared" si="1"/>
        <v>-5.51268757818012e-20</v>
      </c>
      <c r="E30" s="34">
        <f t="shared" si="2"/>
        <v>2.83419620393626e-18</v>
      </c>
      <c r="F30" s="34">
        <f t="shared" si="3"/>
        <v>0.835503447295377</v>
      </c>
      <c r="G30" s="34">
        <f t="shared" si="4"/>
        <v>-0.291193697409467</v>
      </c>
      <c r="H30" s="34">
        <f t="shared" si="5"/>
        <v>0.0847937694109965</v>
      </c>
      <c r="I30" s="34">
        <f t="shared" si="6"/>
        <v>2.00790009335276e-19</v>
      </c>
      <c r="J30" s="34">
        <f t="shared" si="7"/>
        <v>9.28333333333333e-21</v>
      </c>
      <c r="K30" s="34">
        <f t="shared" si="8"/>
        <v>31.2254964257347</v>
      </c>
      <c r="L30" s="34">
        <f t="shared" si="9"/>
        <v>0.49211990265983</v>
      </c>
      <c r="M30" s="34">
        <f t="shared" si="10"/>
        <v>0.0157601946803397</v>
      </c>
      <c r="N30" s="5">
        <f t="shared" si="11"/>
        <v>-4.15026784181527</v>
      </c>
      <c r="O30" s="35">
        <f t="shared" si="12"/>
        <v>2.55916885117078e-19</v>
      </c>
    </row>
    <row r="31" spans="1:15">
      <c r="A31" s="14">
        <v>2</v>
      </c>
      <c r="B31" s="36">
        <f t="shared" si="13"/>
        <v>2e-9</v>
      </c>
      <c r="C31" s="36">
        <f t="shared" si="0"/>
        <v>12.7094134707692</v>
      </c>
      <c r="D31" s="36">
        <f t="shared" si="1"/>
        <v>5.11017745591196e-20</v>
      </c>
      <c r="E31" s="36">
        <f t="shared" si="2"/>
        <v>2.83419620393626e-18</v>
      </c>
      <c r="F31" s="36">
        <f t="shared" si="3"/>
        <v>0.698066010442458</v>
      </c>
      <c r="G31" s="36">
        <f t="shared" si="4"/>
        <v>-0.291193697409467</v>
      </c>
      <c r="H31" s="36">
        <f t="shared" si="5"/>
        <v>0.0847937694109965</v>
      </c>
      <c r="I31" s="36">
        <f t="shared" si="6"/>
        <v>1.67760744982094e-19</v>
      </c>
      <c r="J31" s="36">
        <f t="shared" si="7"/>
        <v>9.28333333333333e-21</v>
      </c>
      <c r="K31" s="36">
        <f t="shared" si="8"/>
        <v>15.5509889240506</v>
      </c>
      <c r="L31" s="36">
        <f t="shared" si="9"/>
        <v>0.484424635691736</v>
      </c>
      <c r="M31" s="36">
        <f t="shared" si="10"/>
        <v>0.0311507286165281</v>
      </c>
      <c r="N31" s="10">
        <f t="shared" si="11"/>
        <v>-3.46891764344348</v>
      </c>
      <c r="O31" s="37">
        <f t="shared" si="12"/>
        <v>1.16658970422975e-19</v>
      </c>
    </row>
    <row r="32" spans="1:15">
      <c r="A32" s="15">
        <v>3</v>
      </c>
      <c r="B32" s="34">
        <f t="shared" si="13"/>
        <v>3e-9</v>
      </c>
      <c r="C32" s="34">
        <f t="shared" si="0"/>
        <v>17.0167951189</v>
      </c>
      <c r="D32" s="34">
        <f t="shared" si="1"/>
        <v>6.84208150033634e-20</v>
      </c>
      <c r="E32" s="34">
        <f t="shared" si="2"/>
        <v>2.83419620393626e-18</v>
      </c>
      <c r="F32" s="34">
        <f t="shared" si="3"/>
        <v>0.583236558164404</v>
      </c>
      <c r="G32" s="34">
        <f t="shared" si="4"/>
        <v>-0.291193697409467</v>
      </c>
      <c r="H32" s="34">
        <f t="shared" si="5"/>
        <v>0.0847937694109965</v>
      </c>
      <c r="I32" s="34">
        <f t="shared" si="6"/>
        <v>1.4016468075338e-19</v>
      </c>
      <c r="J32" s="34">
        <f t="shared" si="7"/>
        <v>9.28333333333333e-21</v>
      </c>
      <c r="K32" s="34">
        <f t="shared" si="8"/>
        <v>10.3264775413712</v>
      </c>
      <c r="L32" s="34">
        <f t="shared" si="9"/>
        <v>0.476908463621277</v>
      </c>
      <c r="M32" s="34">
        <f t="shared" si="10"/>
        <v>0.0461830727574461</v>
      </c>
      <c r="N32" s="5">
        <f t="shared" si="11"/>
        <v>-3.07514193856332</v>
      </c>
      <c r="O32" s="35">
        <f t="shared" si="12"/>
        <v>7.17438657500169e-20</v>
      </c>
    </row>
    <row r="33" spans="1:15">
      <c r="A33" s="14">
        <v>4</v>
      </c>
      <c r="B33" s="36">
        <f t="shared" si="13"/>
        <v>4e-9</v>
      </c>
      <c r="C33" s="36">
        <f t="shared" si="0"/>
        <v>16.6926419271375</v>
      </c>
      <c r="D33" s="36">
        <f t="shared" si="1"/>
        <v>6.71174658467586e-20</v>
      </c>
      <c r="E33" s="36">
        <f t="shared" si="2"/>
        <v>2.83419620393626e-18</v>
      </c>
      <c r="F33" s="36">
        <f t="shared" si="3"/>
        <v>0.48729615493505</v>
      </c>
      <c r="G33" s="36">
        <f t="shared" si="4"/>
        <v>-0.291193697409467</v>
      </c>
      <c r="H33" s="36">
        <f t="shared" si="5"/>
        <v>0.0847937694109965</v>
      </c>
      <c r="I33" s="36">
        <f t="shared" si="6"/>
        <v>1.17108073958505e-19</v>
      </c>
      <c r="J33" s="36">
        <f t="shared" si="7"/>
        <v>9.28333333333333e-21</v>
      </c>
      <c r="K33" s="36">
        <f t="shared" si="8"/>
        <v>7.71446232339089</v>
      </c>
      <c r="L33" s="36">
        <f t="shared" si="9"/>
        <v>0.469565871732333</v>
      </c>
      <c r="M33" s="36">
        <f t="shared" si="10"/>
        <v>0.0608682565353349</v>
      </c>
      <c r="N33" s="10">
        <f t="shared" si="11"/>
        <v>-2.7990434793157</v>
      </c>
      <c r="O33" s="37">
        <f t="shared" si="12"/>
        <v>4.99906081117465e-20</v>
      </c>
    </row>
    <row r="34" spans="1:15">
      <c r="A34" s="15">
        <v>5</v>
      </c>
      <c r="B34" s="34">
        <f t="shared" si="13"/>
        <v>5e-9</v>
      </c>
      <c r="C34" s="34">
        <f t="shared" si="0"/>
        <v>15.0474243493625</v>
      </c>
      <c r="D34" s="34">
        <f t="shared" si="1"/>
        <v>6.05024054465663e-20</v>
      </c>
      <c r="E34" s="34">
        <f t="shared" si="2"/>
        <v>2.83419620393626e-18</v>
      </c>
      <c r="F34" s="34">
        <f t="shared" si="3"/>
        <v>0.407137617302016</v>
      </c>
      <c r="G34" s="34">
        <f t="shared" si="4"/>
        <v>-0.291193697409467</v>
      </c>
      <c r="H34" s="34">
        <f t="shared" si="5"/>
        <v>0.0847937694109965</v>
      </c>
      <c r="I34" s="34">
        <f t="shared" si="6"/>
        <v>9.7844199498453e-20</v>
      </c>
      <c r="J34" s="34">
        <f t="shared" si="7"/>
        <v>9.28333333333333e-21</v>
      </c>
      <c r="K34" s="34">
        <f t="shared" si="8"/>
        <v>6.14744331508991</v>
      </c>
      <c r="L34" s="34">
        <f t="shared" si="9"/>
        <v>0.462391555948662</v>
      </c>
      <c r="M34" s="34">
        <f t="shared" si="10"/>
        <v>0.0752168881026761</v>
      </c>
      <c r="N34" s="5">
        <f t="shared" si="11"/>
        <v>-2.58737949740626</v>
      </c>
      <c r="O34" s="35">
        <f t="shared" si="12"/>
        <v>3.73417940518866e-20</v>
      </c>
    </row>
    <row r="35" spans="1:15">
      <c r="A35" s="14">
        <v>6</v>
      </c>
      <c r="B35" s="36">
        <f t="shared" si="13"/>
        <v>6e-9</v>
      </c>
      <c r="C35" s="36">
        <f t="shared" si="0"/>
        <v>13.0776015661368</v>
      </c>
      <c r="D35" s="36">
        <f t="shared" si="1"/>
        <v>5.25821784414937e-20</v>
      </c>
      <c r="E35" s="36">
        <f t="shared" si="2"/>
        <v>2.83419620393626e-18</v>
      </c>
      <c r="F35" s="36">
        <f t="shared" si="3"/>
        <v>0.34016488277946</v>
      </c>
      <c r="G35" s="36">
        <f t="shared" si="4"/>
        <v>-0.291193697409467</v>
      </c>
      <c r="H35" s="36">
        <f t="shared" si="5"/>
        <v>0.0847937694109965</v>
      </c>
      <c r="I35" s="36">
        <f t="shared" si="6"/>
        <v>8.1749165978814e-20</v>
      </c>
      <c r="J35" s="36">
        <f t="shared" si="7"/>
        <v>9.28333333333333e-21</v>
      </c>
      <c r="K35" s="36">
        <f t="shared" si="8"/>
        <v>5.10292056074766</v>
      </c>
      <c r="L35" s="36">
        <f t="shared" si="9"/>
        <v>0.455380413252434</v>
      </c>
      <c r="M35" s="36">
        <f t="shared" si="10"/>
        <v>0.0892391734951315</v>
      </c>
      <c r="N35" s="10">
        <f t="shared" si="11"/>
        <v>-2.41643517105716</v>
      </c>
      <c r="O35" s="37">
        <f t="shared" si="12"/>
        <v>2.91669875373203e-20</v>
      </c>
    </row>
    <row r="36" spans="1:15">
      <c r="A36" s="15">
        <v>7</v>
      </c>
      <c r="B36" s="34">
        <f t="shared" si="13"/>
        <v>7e-9</v>
      </c>
      <c r="C36" s="34">
        <f t="shared" si="0"/>
        <v>11.1413517723522</v>
      </c>
      <c r="D36" s="34">
        <f t="shared" si="1"/>
        <v>4.47969410912658e-20</v>
      </c>
      <c r="E36" s="34">
        <f t="shared" si="2"/>
        <v>2.83419620393626e-18</v>
      </c>
      <c r="F36" s="34">
        <f t="shared" si="3"/>
        <v>0.284208932211067</v>
      </c>
      <c r="G36" s="34">
        <f t="shared" si="4"/>
        <v>-0.291193697409467</v>
      </c>
      <c r="H36" s="34">
        <f t="shared" si="5"/>
        <v>0.0847937694109965</v>
      </c>
      <c r="I36" s="34">
        <f t="shared" si="6"/>
        <v>6.8301709988821e-20</v>
      </c>
      <c r="J36" s="34">
        <f t="shared" si="7"/>
        <v>9.28333333333333e-21</v>
      </c>
      <c r="K36" s="34">
        <f t="shared" si="8"/>
        <v>4.35696553252799</v>
      </c>
      <c r="L36" s="34">
        <f t="shared" si="9"/>
        <v>0.448527532607406</v>
      </c>
      <c r="M36" s="34">
        <f t="shared" si="10"/>
        <v>0.102944934785188</v>
      </c>
      <c r="N36" s="5">
        <f t="shared" si="11"/>
        <v>-2.27356104744542</v>
      </c>
      <c r="O36" s="35">
        <f t="shared" si="12"/>
        <v>2.35047688975553e-20</v>
      </c>
    </row>
    <row r="37" spans="1:15">
      <c r="A37" s="14">
        <v>8</v>
      </c>
      <c r="B37" s="36">
        <f t="shared" si="13"/>
        <v>8e-9</v>
      </c>
      <c r="C37" s="36">
        <f t="shared" si="0"/>
        <v>9.3714449450351</v>
      </c>
      <c r="D37" s="36">
        <f t="shared" si="1"/>
        <v>3.76805324632657e-20</v>
      </c>
      <c r="E37" s="36">
        <f t="shared" si="2"/>
        <v>2.83419620393626e-18</v>
      </c>
      <c r="F37" s="36">
        <f t="shared" si="3"/>
        <v>0.237457542614484</v>
      </c>
      <c r="G37" s="36">
        <f t="shared" si="4"/>
        <v>-0.291193697409467</v>
      </c>
      <c r="H37" s="36">
        <f t="shared" si="5"/>
        <v>0.0847937694109965</v>
      </c>
      <c r="I37" s="36">
        <f t="shared" si="6"/>
        <v>5.7066314151829e-20</v>
      </c>
      <c r="J37" s="36">
        <f t="shared" si="7"/>
        <v>9.28333333333333e-21</v>
      </c>
      <c r="K37" s="36">
        <f t="shared" si="8"/>
        <v>3.79761398763524</v>
      </c>
      <c r="L37" s="36">
        <f t="shared" si="9"/>
        <v>0.441828186356597</v>
      </c>
      <c r="M37" s="36">
        <f t="shared" si="10"/>
        <v>0.116343627286806</v>
      </c>
      <c r="N37" s="10">
        <f t="shared" si="11"/>
        <v>-2.15120716265647</v>
      </c>
      <c r="O37" s="37">
        <f t="shared" si="12"/>
        <v>1.93857816885634e-20</v>
      </c>
    </row>
    <row r="38" spans="1:15">
      <c r="A38" s="15">
        <v>9</v>
      </c>
      <c r="B38" s="34">
        <f t="shared" si="13"/>
        <v>9e-9</v>
      </c>
      <c r="C38" s="34">
        <f t="shared" si="0"/>
        <v>7.80976530762356</v>
      </c>
      <c r="D38" s="34">
        <f t="shared" si="1"/>
        <v>3.14013598682346e-20</v>
      </c>
      <c r="E38" s="34">
        <f t="shared" si="2"/>
        <v>2.83419620393626e-18</v>
      </c>
      <c r="F38" s="34">
        <f t="shared" si="3"/>
        <v>0.19839659544069</v>
      </c>
      <c r="G38" s="34">
        <f t="shared" si="4"/>
        <v>-0.291193697409467</v>
      </c>
      <c r="H38" s="34">
        <f t="shared" si="5"/>
        <v>0.0847937694109965</v>
      </c>
      <c r="I38" s="34">
        <f t="shared" si="6"/>
        <v>4.76791021982941e-20</v>
      </c>
      <c r="J38" s="34">
        <f t="shared" si="7"/>
        <v>9.28333333333333e-21</v>
      </c>
      <c r="K38" s="34">
        <f t="shared" si="8"/>
        <v>3.3626635873749</v>
      </c>
      <c r="L38" s="34">
        <f t="shared" si="9"/>
        <v>0.435277822066327</v>
      </c>
      <c r="M38" s="34">
        <f t="shared" si="10"/>
        <v>0.129444355867347</v>
      </c>
      <c r="N38" s="5">
        <f t="shared" si="11"/>
        <v>-2.04450417460538</v>
      </c>
      <c r="O38" s="35">
        <f t="shared" si="12"/>
        <v>1.62777423300595e-20</v>
      </c>
    </row>
    <row r="39" spans="1:15">
      <c r="A39" s="14">
        <v>10</v>
      </c>
      <c r="B39" s="36">
        <f t="shared" si="13"/>
        <v>1e-8</v>
      </c>
      <c r="C39" s="36">
        <f t="shared" si="0"/>
        <v>6.45920465009743</v>
      </c>
      <c r="D39" s="36">
        <f t="shared" si="1"/>
        <v>2.59710505618257e-20</v>
      </c>
      <c r="E39" s="36">
        <f t="shared" si="2"/>
        <v>2.83419620393626e-18</v>
      </c>
      <c r="F39" s="36">
        <f t="shared" si="3"/>
        <v>0.165761039422363</v>
      </c>
      <c r="G39" s="36">
        <f t="shared" si="4"/>
        <v>-0.291193697409467</v>
      </c>
      <c r="H39" s="36">
        <f t="shared" si="5"/>
        <v>0.0847937694109965</v>
      </c>
      <c r="I39" s="36">
        <f t="shared" si="6"/>
        <v>3.98360542506233e-20</v>
      </c>
      <c r="J39" s="36">
        <f t="shared" si="7"/>
        <v>9.28333333333333e-21</v>
      </c>
      <c r="K39" s="36">
        <f t="shared" si="8"/>
        <v>3.01479294478528</v>
      </c>
      <c r="L39" s="36">
        <f t="shared" si="9"/>
        <v>0.428872054790336</v>
      </c>
      <c r="M39" s="36">
        <f t="shared" si="10"/>
        <v>0.142255890419328</v>
      </c>
      <c r="N39" s="10">
        <f t="shared" si="11"/>
        <v>-1.95012779790981</v>
      </c>
      <c r="O39" s="37">
        <f t="shared" si="12"/>
        <v>1.38650036887976e-20</v>
      </c>
    </row>
    <row r="40" spans="1:15">
      <c r="A40" s="15">
        <v>20</v>
      </c>
      <c r="B40" s="34">
        <f t="shared" si="13"/>
        <v>2e-8</v>
      </c>
      <c r="C40" s="34">
        <f t="shared" si="0"/>
        <v>0.576117632808282</v>
      </c>
      <c r="D40" s="34">
        <f t="shared" si="1"/>
        <v>2.31644311981933e-21</v>
      </c>
      <c r="E40" s="34">
        <f t="shared" si="2"/>
        <v>2.83419620393626e-18</v>
      </c>
      <c r="F40" s="34">
        <f t="shared" si="3"/>
        <v>0.0274767221903822</v>
      </c>
      <c r="G40" s="34">
        <f t="shared" si="4"/>
        <v>-0.291193697409467</v>
      </c>
      <c r="H40" s="34">
        <f t="shared" si="5"/>
        <v>0.0847937694109965</v>
      </c>
      <c r="I40" s="34">
        <f t="shared" si="6"/>
        <v>6.60326575906896e-21</v>
      </c>
      <c r="J40" s="34">
        <f t="shared" si="7"/>
        <v>9.28333333333333e-21</v>
      </c>
      <c r="K40" s="34">
        <f t="shared" si="8"/>
        <v>1.45173190546529</v>
      </c>
      <c r="L40" s="34">
        <f t="shared" si="9"/>
        <v>0.371908636990591</v>
      </c>
      <c r="M40" s="34">
        <f t="shared" si="10"/>
        <v>0.256182726018818</v>
      </c>
      <c r="N40" s="5">
        <f t="shared" si="11"/>
        <v>-1.36186431560673</v>
      </c>
      <c r="O40" s="35">
        <f t="shared" si="12"/>
        <v>4.28682263924962e-21</v>
      </c>
    </row>
    <row r="41" spans="1:15">
      <c r="A41" s="14">
        <v>30</v>
      </c>
      <c r="B41" s="36">
        <f t="shared" si="13"/>
        <v>3e-8</v>
      </c>
      <c r="C41" s="36">
        <f t="shared" si="0"/>
        <v>-0.202871822388409</v>
      </c>
      <c r="D41" s="36">
        <f t="shared" si="1"/>
        <v>-8.15703270330599e-22</v>
      </c>
      <c r="E41" s="36">
        <f t="shared" si="2"/>
        <v>2.83419620393626e-18</v>
      </c>
      <c r="F41" s="36">
        <f t="shared" si="3"/>
        <v>0.00455457003019726</v>
      </c>
      <c r="G41" s="36">
        <f t="shared" si="4"/>
        <v>-0.291193697409467</v>
      </c>
      <c r="H41" s="36">
        <f t="shared" si="5"/>
        <v>0.0847937694109965</v>
      </c>
      <c r="I41" s="36">
        <f t="shared" si="6"/>
        <v>1.09456419580537e-21</v>
      </c>
      <c r="J41" s="36">
        <f t="shared" si="7"/>
        <v>9.28333333333333e-21</v>
      </c>
      <c r="K41" s="36">
        <f t="shared" si="8"/>
        <v>0.933354700854701</v>
      </c>
      <c r="L41" s="36">
        <f t="shared" si="9"/>
        <v>0.325583995468165</v>
      </c>
      <c r="M41" s="36">
        <f t="shared" si="10"/>
        <v>0.348832009063669</v>
      </c>
      <c r="N41" s="10">
        <f t="shared" si="11"/>
        <v>-1.05316482205328</v>
      </c>
      <c r="O41" s="37">
        <f t="shared" si="12"/>
        <v>1.91026746613597e-21</v>
      </c>
    </row>
    <row r="42" spans="1:15">
      <c r="A42" s="15">
        <v>40</v>
      </c>
      <c r="B42" s="34">
        <f t="shared" si="13"/>
        <v>4e-8</v>
      </c>
      <c r="C42" s="34">
        <f t="shared" si="0"/>
        <v>-0.204531032021108</v>
      </c>
      <c r="D42" s="34">
        <f t="shared" si="1"/>
        <v>-8.22374589726377e-22</v>
      </c>
      <c r="E42" s="34">
        <f t="shared" si="2"/>
        <v>2.83419620393626e-18</v>
      </c>
      <c r="F42" s="34">
        <f t="shared" si="3"/>
        <v>0.000754970262327441</v>
      </c>
      <c r="G42" s="34">
        <f t="shared" si="4"/>
        <v>-0.291193697409467</v>
      </c>
      <c r="H42" s="34">
        <f t="shared" si="5"/>
        <v>0.0847937694109965</v>
      </c>
      <c r="I42" s="34">
        <f t="shared" si="6"/>
        <v>1.81436098811201e-22</v>
      </c>
      <c r="J42" s="34">
        <f t="shared" si="7"/>
        <v>9.28333333333333e-21</v>
      </c>
      <c r="K42" s="34">
        <f t="shared" si="8"/>
        <v>0.675943947730399</v>
      </c>
      <c r="L42" s="34">
        <f t="shared" si="9"/>
        <v>0.287404832957807</v>
      </c>
      <c r="M42" s="34">
        <f t="shared" si="10"/>
        <v>0.425190334084386</v>
      </c>
      <c r="N42" s="5">
        <f t="shared" si="11"/>
        <v>-0.855218365405881</v>
      </c>
      <c r="O42" s="35">
        <f t="shared" si="12"/>
        <v>1.00381068853758e-21</v>
      </c>
    </row>
    <row r="43" spans="1:15">
      <c r="A43" s="14">
        <v>50</v>
      </c>
      <c r="B43" s="36">
        <f t="shared" si="13"/>
        <v>5e-8</v>
      </c>
      <c r="C43" s="36">
        <f t="shared" si="0"/>
        <v>-0.137228892825657</v>
      </c>
      <c r="D43" s="36">
        <f t="shared" si="1"/>
        <v>-5.51767393538885e-22</v>
      </c>
      <c r="E43" s="36">
        <f t="shared" si="2"/>
        <v>2.83419620393626e-18</v>
      </c>
      <c r="F43" s="36">
        <f t="shared" si="3"/>
        <v>0.000125144655416371</v>
      </c>
      <c r="G43" s="36">
        <f t="shared" si="4"/>
        <v>-0.291193697409467</v>
      </c>
      <c r="H43" s="36">
        <f t="shared" si="5"/>
        <v>0.0847937694109965</v>
      </c>
      <c r="I43" s="36">
        <f t="shared" si="6"/>
        <v>3.00750363276832e-23</v>
      </c>
      <c r="J43" s="36">
        <f t="shared" si="7"/>
        <v>9.28333333333333e-21</v>
      </c>
      <c r="K43" s="36">
        <f t="shared" si="8"/>
        <v>0.522777925531915</v>
      </c>
      <c r="L43" s="36">
        <f t="shared" si="9"/>
        <v>0.25556766160163</v>
      </c>
      <c r="M43" s="36">
        <f t="shared" si="10"/>
        <v>0.48886467679674</v>
      </c>
      <c r="N43" s="10">
        <f t="shared" si="11"/>
        <v>-0.715669562372335</v>
      </c>
      <c r="O43" s="37">
        <f t="shared" si="12"/>
        <v>5.81842429866569e-22</v>
      </c>
    </row>
    <row r="44" spans="1:15">
      <c r="A44" s="15">
        <v>60</v>
      </c>
      <c r="B44" s="34">
        <f t="shared" si="13"/>
        <v>6e-8</v>
      </c>
      <c r="C44" s="34">
        <f t="shared" si="0"/>
        <v>-0.0884261416649329</v>
      </c>
      <c r="D44" s="34">
        <f t="shared" si="1"/>
        <v>-3.55542194522741e-22</v>
      </c>
      <c r="E44" s="34">
        <f t="shared" si="2"/>
        <v>2.83419620393626e-18</v>
      </c>
      <c r="F44" s="34">
        <f t="shared" si="3"/>
        <v>2.07441081599711e-5</v>
      </c>
      <c r="G44" s="34">
        <f t="shared" si="4"/>
        <v>-0.291193697409467</v>
      </c>
      <c r="H44" s="34">
        <f t="shared" si="5"/>
        <v>0.0847937694109965</v>
      </c>
      <c r="I44" s="34">
        <f t="shared" si="6"/>
        <v>4.9852692823421e-24</v>
      </c>
      <c r="J44" s="34">
        <f t="shared" si="7"/>
        <v>9.28333333333333e-21</v>
      </c>
      <c r="K44" s="34">
        <f t="shared" si="8"/>
        <v>0.421631274131274</v>
      </c>
      <c r="L44" s="34">
        <f t="shared" si="9"/>
        <v>0.228741843927064</v>
      </c>
      <c r="M44" s="34">
        <f t="shared" si="10"/>
        <v>0.542516312145872</v>
      </c>
      <c r="N44" s="5">
        <f t="shared" si="11"/>
        <v>-0.611537125547916</v>
      </c>
      <c r="O44" s="35">
        <f t="shared" si="12"/>
        <v>3.60527463805083e-22</v>
      </c>
    </row>
    <row r="45" spans="1:15">
      <c r="A45" s="14">
        <v>70</v>
      </c>
      <c r="B45" s="36">
        <f t="shared" si="13"/>
        <v>7e-8</v>
      </c>
      <c r="C45" s="36">
        <f t="shared" si="0"/>
        <v>-0.0581540687408201</v>
      </c>
      <c r="D45" s="36">
        <f t="shared" si="1"/>
        <v>-2.33824803742818e-22</v>
      </c>
      <c r="E45" s="36">
        <f t="shared" si="2"/>
        <v>2.83419620393626e-18</v>
      </c>
      <c r="F45" s="36">
        <f t="shared" si="3"/>
        <v>3.43856493048672e-6</v>
      </c>
      <c r="G45" s="36">
        <f t="shared" si="4"/>
        <v>-0.291193697409467</v>
      </c>
      <c r="H45" s="36">
        <f t="shared" si="5"/>
        <v>0.0847937694109965</v>
      </c>
      <c r="I45" s="36">
        <f t="shared" si="6"/>
        <v>8.26363418041403e-25</v>
      </c>
      <c r="J45" s="36">
        <f t="shared" si="7"/>
        <v>9.28333333333333e-21</v>
      </c>
      <c r="K45" s="36">
        <f t="shared" si="8"/>
        <v>0.3501327039544</v>
      </c>
      <c r="L45" s="36">
        <f t="shared" si="9"/>
        <v>0.205928264096743</v>
      </c>
      <c r="M45" s="36">
        <f t="shared" si="10"/>
        <v>0.588143471806514</v>
      </c>
      <c r="N45" s="10">
        <f t="shared" si="11"/>
        <v>-0.530784361175646</v>
      </c>
      <c r="O45" s="37">
        <f t="shared" si="12"/>
        <v>2.34651167160859e-22</v>
      </c>
    </row>
    <row r="46" spans="1:15">
      <c r="A46" s="15">
        <v>80</v>
      </c>
      <c r="B46" s="34">
        <f t="shared" si="13"/>
        <v>8e-8</v>
      </c>
      <c r="C46" s="34">
        <f t="shared" si="0"/>
        <v>-0.0394278591388465</v>
      </c>
      <c r="D46" s="34">
        <f t="shared" si="1"/>
        <v>-1.5853080661008e-22</v>
      </c>
      <c r="E46" s="34">
        <f t="shared" si="2"/>
        <v>2.83419620393626e-18</v>
      </c>
      <c r="F46" s="34">
        <f t="shared" si="3"/>
        <v>5.69980096998765e-7</v>
      </c>
      <c r="G46" s="34">
        <f t="shared" si="4"/>
        <v>-0.291193697409467</v>
      </c>
      <c r="H46" s="34">
        <f t="shared" si="5"/>
        <v>0.0847937694109965</v>
      </c>
      <c r="I46" s="34">
        <f t="shared" si="6"/>
        <v>1.3697885911516e-25</v>
      </c>
      <c r="J46" s="34">
        <f t="shared" si="7"/>
        <v>9.28333333333333e-21</v>
      </c>
      <c r="K46" s="34">
        <f t="shared" si="8"/>
        <v>0.297104746070133</v>
      </c>
      <c r="L46" s="34">
        <f t="shared" si="9"/>
        <v>0.186364933551652</v>
      </c>
      <c r="M46" s="34">
        <f t="shared" si="10"/>
        <v>0.627270132896697</v>
      </c>
      <c r="N46" s="5">
        <f t="shared" si="11"/>
        <v>-0.466377997165498</v>
      </c>
      <c r="O46" s="35">
        <f t="shared" si="12"/>
        <v>1.58667785469195e-22</v>
      </c>
    </row>
    <row r="47" spans="1:15">
      <c r="A47" s="14">
        <v>90</v>
      </c>
      <c r="B47" s="36">
        <f t="shared" si="13"/>
        <v>9e-8</v>
      </c>
      <c r="C47" s="36">
        <f t="shared" si="0"/>
        <v>-0.0275119160117574</v>
      </c>
      <c r="D47" s="36">
        <f t="shared" si="1"/>
        <v>-1.10619402929628e-22</v>
      </c>
      <c r="E47" s="36">
        <f t="shared" si="2"/>
        <v>2.83419620393626e-18</v>
      </c>
      <c r="F47" s="36">
        <f t="shared" si="3"/>
        <v>9.44804933285746e-8</v>
      </c>
      <c r="G47" s="36">
        <f t="shared" si="4"/>
        <v>-0.291193697409467</v>
      </c>
      <c r="H47" s="36">
        <f t="shared" si="5"/>
        <v>0.0847937694109965</v>
      </c>
      <c r="I47" s="36">
        <f t="shared" si="6"/>
        <v>2.27057580658183e-26</v>
      </c>
      <c r="J47" s="36">
        <f t="shared" si="7"/>
        <v>9.28333333333333e-21</v>
      </c>
      <c r="K47" s="36">
        <f t="shared" si="8"/>
        <v>0.256343896713615</v>
      </c>
      <c r="L47" s="36">
        <f t="shared" si="9"/>
        <v>0.169462527447801</v>
      </c>
      <c r="M47" s="36">
        <f t="shared" si="10"/>
        <v>0.661074945104399</v>
      </c>
      <c r="N47" s="10">
        <f t="shared" si="11"/>
        <v>-0.413888064159151</v>
      </c>
      <c r="O47" s="37">
        <f t="shared" si="12"/>
        <v>1.10642108687694e-22</v>
      </c>
    </row>
    <row r="48" spans="1:15">
      <c r="A48" s="15">
        <v>100</v>
      </c>
      <c r="B48" s="34">
        <f t="shared" si="13"/>
        <v>1e-7</v>
      </c>
      <c r="C48" s="34">
        <f t="shared" si="0"/>
        <v>-0.0196832005647778</v>
      </c>
      <c r="D48" s="34">
        <f t="shared" si="1"/>
        <v>-7.91418486916481e-23</v>
      </c>
      <c r="E48" s="34">
        <f t="shared" si="2"/>
        <v>2.83419620393626e-18</v>
      </c>
      <c r="F48" s="34">
        <f t="shared" si="3"/>
        <v>1.56611847792822e-8</v>
      </c>
      <c r="G48" s="34">
        <f t="shared" si="4"/>
        <v>-0.291193697409467</v>
      </c>
      <c r="H48" s="34">
        <f t="shared" si="5"/>
        <v>0.0847937694109965</v>
      </c>
      <c r="I48" s="34">
        <f t="shared" si="6"/>
        <v>3.76373005786275e-27</v>
      </c>
      <c r="J48" s="34">
        <f t="shared" si="7"/>
        <v>9.28333333333333e-21</v>
      </c>
      <c r="K48" s="34">
        <f t="shared" si="8"/>
        <v>0.224132839224629</v>
      </c>
      <c r="L48" s="34">
        <f t="shared" si="9"/>
        <v>0.154759477186963</v>
      </c>
      <c r="M48" s="34">
        <f t="shared" si="10"/>
        <v>0.690481045626074</v>
      </c>
      <c r="N48" s="5">
        <f t="shared" si="11"/>
        <v>-0.370366756725233</v>
      </c>
      <c r="O48" s="35">
        <f t="shared" si="12"/>
        <v>7.91456124217059e-23</v>
      </c>
    </row>
    <row r="49" spans="1:15">
      <c r="A49" s="38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9">
        <f t="shared" si="10"/>
        <v>0</v>
      </c>
      <c r="N49" s="40"/>
      <c r="O49" s="41"/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49"/>
  <sheetViews>
    <sheetView zoomScale="85" zoomScaleNormal="85" topLeftCell="A20" workbookViewId="0">
      <selection activeCell="A25" sqref="A25:O49"/>
    </sheetView>
  </sheetViews>
  <sheetFormatPr defaultColWidth="9.10576923076923" defaultRowHeight="16.8"/>
  <cols>
    <col min="2" max="2" width="36" customWidth="1"/>
    <col min="3" max="3" width="12" customWidth="1"/>
    <col min="4" max="4" width="9.44230769230769" customWidth="1"/>
    <col min="5" max="5" width="22.7788461538462" customWidth="1"/>
    <col min="6" max="6" width="12.5576923076923" customWidth="1"/>
    <col min="7" max="7" width="12" customWidth="1"/>
    <col min="8" max="8" width="26.1057692307692" customWidth="1"/>
    <col min="9" max="9" width="31.7788461538462" customWidth="1"/>
    <col min="10" max="10" width="9.23076923076923"/>
    <col min="11" max="11" width="13.1057692307692" customWidth="1"/>
    <col min="12" max="12" width="16" customWidth="1"/>
    <col min="13" max="13" width="10"/>
    <col min="14" max="14" width="14.0769230769231"/>
    <col min="15" max="15" width="9.23076923076923"/>
  </cols>
  <sheetData>
    <row r="3" spans="1:7">
      <c r="A3" s="1" t="s">
        <v>0</v>
      </c>
      <c r="B3" s="2" t="s">
        <v>1</v>
      </c>
      <c r="C3" s="2" t="s">
        <v>2</v>
      </c>
      <c r="D3" s="2" t="s">
        <v>3</v>
      </c>
      <c r="E3" s="3" t="s">
        <v>70</v>
      </c>
    </row>
    <row r="4" spans="1:7">
      <c r="A4" s="4" t="s">
        <v>5</v>
      </c>
      <c r="B4" s="5" t="s">
        <v>6</v>
      </c>
      <c r="C4" s="6">
        <v>5.57e-20</v>
      </c>
      <c r="D4" s="5" t="s">
        <v>7</v>
      </c>
      <c r="E4" s="7"/>
      <c r="G4" s="8"/>
    </row>
    <row r="5" spans="1:7">
      <c r="A5" s="9" t="s">
        <v>9</v>
      </c>
      <c r="B5" s="10" t="s">
        <v>10</v>
      </c>
      <c r="C5" s="11">
        <v>0.01</v>
      </c>
      <c r="D5" s="10"/>
      <c r="E5" s="12"/>
      <c r="G5" s="8"/>
    </row>
    <row r="6" spans="1:7">
      <c r="A6" s="4" t="s">
        <v>12</v>
      </c>
      <c r="B6" s="5" t="s">
        <v>13</v>
      </c>
      <c r="C6" s="13">
        <v>0.03</v>
      </c>
      <c r="D6" s="5"/>
      <c r="E6" s="7"/>
      <c r="G6" s="8"/>
    </row>
    <row r="7" ht="20" spans="1:7">
      <c r="A7" s="14" t="s">
        <v>15</v>
      </c>
      <c r="B7" s="10" t="s">
        <v>16</v>
      </c>
      <c r="C7" s="11">
        <v>1.381e-23</v>
      </c>
      <c r="D7" s="10" t="s">
        <v>71</v>
      </c>
      <c r="E7" s="12"/>
    </row>
    <row r="8" ht="20" spans="1:7">
      <c r="A8" s="15" t="s">
        <v>19</v>
      </c>
      <c r="B8" s="5"/>
      <c r="C8" s="13">
        <f>C7*C14</f>
        <v>4.0207815e-21</v>
      </c>
      <c r="D8" s="5"/>
      <c r="E8" s="7"/>
    </row>
    <row r="9" spans="1:7">
      <c r="A9" s="9" t="s">
        <v>20</v>
      </c>
      <c r="B9" s="10" t="s">
        <v>21</v>
      </c>
      <c r="C9" s="11">
        <f>C11*C12*1000</f>
        <v>1.806e+25</v>
      </c>
      <c r="D9" s="10" t="s">
        <v>22</v>
      </c>
      <c r="E9" s="12"/>
    </row>
    <row r="10" spans="1:7">
      <c r="A10" s="4"/>
      <c r="B10" s="5" t="s">
        <v>24</v>
      </c>
      <c r="C10" s="5"/>
      <c r="D10" s="5"/>
      <c r="E10" s="7"/>
    </row>
    <row r="11" spans="1:7">
      <c r="A11" s="9"/>
      <c r="B11" s="10" t="s">
        <v>26</v>
      </c>
      <c r="C11" s="11">
        <v>6.02e+23</v>
      </c>
      <c r="D11" s="10"/>
      <c r="E11" s="12"/>
    </row>
    <row r="12" spans="1:7">
      <c r="A12" s="4"/>
      <c r="B12" s="5" t="s">
        <v>28</v>
      </c>
      <c r="C12" s="13">
        <f>3*C5</f>
        <v>0.03</v>
      </c>
      <c r="D12" s="5"/>
      <c r="E12" s="7"/>
    </row>
    <row r="13" spans="1:7">
      <c r="A13" s="9" t="s">
        <v>30</v>
      </c>
      <c r="B13" s="10" t="s">
        <v>31</v>
      </c>
      <c r="C13" s="11">
        <f>72.72/1000000000</f>
        <v>7.272e-8</v>
      </c>
      <c r="D13" s="10" t="s">
        <v>32</v>
      </c>
      <c r="E13" s="12"/>
    </row>
    <row r="14" spans="1:7">
      <c r="A14" s="4" t="s">
        <v>34</v>
      </c>
      <c r="B14" s="5" t="s">
        <v>35</v>
      </c>
      <c r="C14" s="16">
        <v>291.15</v>
      </c>
      <c r="D14" s="5" t="s">
        <v>36</v>
      </c>
      <c r="E14" s="7"/>
    </row>
    <row r="15" spans="1:7">
      <c r="A15" s="9" t="s">
        <v>38</v>
      </c>
      <c r="B15" s="10"/>
      <c r="C15" s="17">
        <v>2</v>
      </c>
      <c r="D15" s="10"/>
      <c r="E15" s="12"/>
    </row>
    <row r="16" ht="18.75" customHeight="1" spans="1:7">
      <c r="A16" s="4" t="s">
        <v>39</v>
      </c>
      <c r="B16" s="18" t="s">
        <v>40</v>
      </c>
      <c r="C16" s="19">
        <f>C17*C18</f>
        <v>7.0832e-10</v>
      </c>
      <c r="D16" s="18" t="s">
        <v>41</v>
      </c>
      <c r="E16" s="20"/>
      <c r="F16" s="21"/>
      <c r="G16" s="21"/>
    </row>
    <row r="17" ht="21.75" customHeight="1" spans="1:15">
      <c r="A17" s="9"/>
      <c r="B17" s="22" t="s">
        <v>43</v>
      </c>
      <c r="C17" s="23">
        <v>8.854e-12</v>
      </c>
      <c r="D17" s="22"/>
      <c r="E17" s="24"/>
      <c r="F17" s="21"/>
      <c r="G17" s="21"/>
    </row>
    <row r="18" ht="23.25" customHeight="1" spans="1:15">
      <c r="A18" s="4"/>
      <c r="B18" s="18" t="s">
        <v>45</v>
      </c>
      <c r="C18" s="25">
        <v>80</v>
      </c>
      <c r="D18" s="18"/>
      <c r="E18" s="20"/>
      <c r="F18" s="21"/>
      <c r="G18" s="21"/>
    </row>
    <row r="19" ht="17" spans="1:15">
      <c r="A19" s="9" t="s">
        <v>46</v>
      </c>
      <c r="B19" s="10" t="s">
        <v>47</v>
      </c>
      <c r="C19" s="11">
        <f>1/((4.31*POWER(2*C6,-0.5)/10000000000))</f>
        <v>568327086.492617</v>
      </c>
      <c r="D19" s="10" t="s">
        <v>48</v>
      </c>
      <c r="E19" s="12"/>
    </row>
    <row r="20" spans="1:15">
      <c r="A20" s="4" t="s">
        <v>50</v>
      </c>
      <c r="B20" s="5"/>
      <c r="C20" s="16">
        <v>3.1416</v>
      </c>
      <c r="D20" s="5"/>
      <c r="E20" s="7"/>
    </row>
    <row r="21" ht="18.75" customHeight="1" spans="1:15">
      <c r="A21" s="9" t="s">
        <v>51</v>
      </c>
      <c r="B21" s="26" t="s">
        <v>52</v>
      </c>
      <c r="C21" s="23">
        <f>-19.47/1000</f>
        <v>-0.01947</v>
      </c>
      <c r="D21" s="26" t="s">
        <v>53</v>
      </c>
      <c r="E21" s="27"/>
      <c r="F21" s="28"/>
      <c r="G21" s="28"/>
    </row>
    <row r="22" ht="17.25" customHeight="1" spans="1:15">
      <c r="A22" s="29" t="s">
        <v>55</v>
      </c>
      <c r="B22" s="30"/>
      <c r="C22" s="31">
        <v>1.6e-19</v>
      </c>
      <c r="D22" s="30"/>
      <c r="E22" s="32"/>
      <c r="F22" s="28"/>
      <c r="G22" s="28"/>
    </row>
    <row r="23" ht="17.25" customHeight="1" spans="1:15">
      <c r="A23" s="28"/>
      <c r="B23" s="28"/>
      <c r="C23" s="28"/>
      <c r="D23" s="28"/>
      <c r="E23" s="28"/>
      <c r="F23" s="28"/>
      <c r="G23" s="28"/>
    </row>
    <row r="24" ht="17.25" customHeight="1" spans="1:15">
      <c r="A24" s="28"/>
      <c r="B24" s="28"/>
      <c r="C24" s="28"/>
      <c r="D24" s="28"/>
      <c r="E24" s="28"/>
      <c r="F24" s="28"/>
      <c r="G24" s="28"/>
    </row>
    <row r="25" ht="20" spans="1:15">
      <c r="A25" s="33"/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62</v>
      </c>
      <c r="I25" s="2" t="s">
        <v>63</v>
      </c>
      <c r="J25" s="2" t="s">
        <v>64</v>
      </c>
      <c r="K25" s="2" t="s">
        <v>65</v>
      </c>
      <c r="L25" s="2" t="s">
        <v>66</v>
      </c>
      <c r="M25" s="2" t="s">
        <v>67</v>
      </c>
      <c r="N25" s="2" t="s">
        <v>68</v>
      </c>
      <c r="O25" s="3"/>
    </row>
    <row r="26" spans="1:15">
      <c r="A26" s="15">
        <v>0.0001</v>
      </c>
      <c r="B26" s="34">
        <v>1e-9</v>
      </c>
      <c r="C26" s="34">
        <f t="shared" ref="C26:C48" si="0">D26/$C$8</f>
        <v>-11.7859189764679</v>
      </c>
      <c r="D26" s="34">
        <f t="shared" ref="D26:D48" si="1">I26-O26</f>
        <v>-4.73886049810811e-20</v>
      </c>
      <c r="E26" s="34">
        <f t="shared" ref="E26:E48" si="2">64*$C$20*$C$9*$C$13*$C$7*$C$14/$C$19/$C$19</f>
        <v>3.28712516667057e-18</v>
      </c>
      <c r="F26" s="34">
        <f t="shared" ref="F26:F48" si="3">EXP(-$C$19*B26)</f>
        <v>0.566472305637123</v>
      </c>
      <c r="G26" s="34">
        <f t="shared" ref="G26:G48" si="4">(EXP($C$15*$C$22*$C$21/2/$C$7/$C$14)-1)/(EXP($C$15*$C$22*$C$21/2/$C$7/$C$14)+1)</f>
        <v>-0.369105725603125</v>
      </c>
      <c r="H26" s="34">
        <f t="shared" ref="H26:H48" si="5">POWER($G26,2)</f>
        <v>0.13623903667301</v>
      </c>
      <c r="I26" s="34">
        <f t="shared" ref="I26:I48" si="6">$E26*$F26*$H26</f>
        <v>2.53685992514579e-19</v>
      </c>
      <c r="J26" s="34">
        <f t="shared" ref="J26:J48" si="7">$C$4/6</f>
        <v>9.28333333333333e-21</v>
      </c>
      <c r="K26" s="34">
        <f t="shared" ref="K26:K48" si="8">2*$C$13*$C$13/(B26*B26+4*$C$13*B26)</f>
        <v>36.2354282581883</v>
      </c>
      <c r="L26" s="34">
        <f t="shared" ref="L26:L48" si="9">2*$C$13*$C$13/(B26*B26+4*$C$13*B26+4*$C$13*$C$13)</f>
        <v>0.493194580494804</v>
      </c>
      <c r="M26" s="34">
        <f t="shared" ref="M26:M49" si="10">(B26*B26+4*$C$13*B26)/(B26*B26+4*$C$13*B26+4*$C$13*$C$13)</f>
        <v>0.0136108390103918</v>
      </c>
      <c r="N26" s="5">
        <f t="shared" ref="N26:N48" si="11">LN(M26)</f>
        <v>-4.29688881760665</v>
      </c>
      <c r="O26" s="35">
        <f t="shared" ref="O26:O48" si="12">J26*(K26+L26+N26)</f>
        <v>3.0107459749566e-19</v>
      </c>
    </row>
    <row r="27" spans="1:15">
      <c r="A27" s="14">
        <v>0.001</v>
      </c>
      <c r="B27" s="36">
        <f t="shared" ref="B27:B48" si="13">A27/1000000000</f>
        <v>1e-12</v>
      </c>
      <c r="C27" s="36">
        <f t="shared" si="0"/>
        <v>-83813.0546731742</v>
      </c>
      <c r="D27" s="36">
        <f t="shared" si="1"/>
        <v>-3.36993979688387e-16</v>
      </c>
      <c r="E27" s="36">
        <f t="shared" si="2"/>
        <v>3.28712516667057e-18</v>
      </c>
      <c r="F27" s="36">
        <f t="shared" si="3"/>
        <v>0.999431834380756</v>
      </c>
      <c r="G27" s="36">
        <f t="shared" si="4"/>
        <v>-0.369105725603125</v>
      </c>
      <c r="H27" s="36">
        <f t="shared" si="5"/>
        <v>0.13623903667301</v>
      </c>
      <c r="I27" s="36">
        <f t="shared" si="6"/>
        <v>4.47580321813587e-19</v>
      </c>
      <c r="J27" s="36">
        <f t="shared" si="7"/>
        <v>9.28333333333333e-21</v>
      </c>
      <c r="K27" s="36">
        <f t="shared" si="8"/>
        <v>36359.8750004297</v>
      </c>
      <c r="L27" s="36">
        <f t="shared" si="9"/>
        <v>0.499993124383343</v>
      </c>
      <c r="M27" s="36">
        <f t="shared" si="10"/>
        <v>1.37512333135753e-5</v>
      </c>
      <c r="N27" s="10">
        <f t="shared" si="11"/>
        <v>-11.1943820423413</v>
      </c>
      <c r="O27" s="37">
        <f t="shared" si="12"/>
        <v>3.37441560010201e-16</v>
      </c>
    </row>
    <row r="28" spans="1:15">
      <c r="A28" s="15">
        <v>0.01</v>
      </c>
      <c r="B28" s="34">
        <f t="shared" si="13"/>
        <v>1e-11</v>
      </c>
      <c r="C28" s="34">
        <f t="shared" si="0"/>
        <v>-8264.52207273366</v>
      </c>
      <c r="D28" s="34">
        <f t="shared" si="1"/>
        <v>-3.32298374563891e-17</v>
      </c>
      <c r="E28" s="34">
        <f t="shared" si="2"/>
        <v>3.28712516667057e-18</v>
      </c>
      <c r="F28" s="34">
        <f t="shared" si="3"/>
        <v>0.994332848367824</v>
      </c>
      <c r="G28" s="34">
        <f t="shared" si="4"/>
        <v>-0.369105725603125</v>
      </c>
      <c r="H28" s="34">
        <f t="shared" si="5"/>
        <v>0.13623903667301</v>
      </c>
      <c r="I28" s="34">
        <f t="shared" si="6"/>
        <v>4.45296818604981e-19</v>
      </c>
      <c r="J28" s="34">
        <f t="shared" si="7"/>
        <v>9.28333333333333e-21</v>
      </c>
      <c r="K28" s="34">
        <f t="shared" si="8"/>
        <v>3635.87500429716</v>
      </c>
      <c r="L28" s="34">
        <f t="shared" si="9"/>
        <v>0.499931250214924</v>
      </c>
      <c r="M28" s="34">
        <f t="shared" si="10"/>
        <v>0.000137499570151358</v>
      </c>
      <c r="N28" s="5">
        <f t="shared" si="11"/>
        <v>-8.89188976703448</v>
      </c>
      <c r="O28" s="35">
        <f t="shared" si="12"/>
        <v>3.36751342749941e-17</v>
      </c>
    </row>
    <row r="29" spans="1:15">
      <c r="A29" s="14">
        <v>0.1</v>
      </c>
      <c r="B29" s="36">
        <f t="shared" si="13"/>
        <v>1e-10</v>
      </c>
      <c r="C29" s="36">
        <f t="shared" si="0"/>
        <v>-719.915546161337</v>
      </c>
      <c r="D29" s="36">
        <f t="shared" si="1"/>
        <v>-2.8946231095679e-18</v>
      </c>
      <c r="E29" s="36">
        <f t="shared" si="2"/>
        <v>3.28712516667057e-18</v>
      </c>
      <c r="F29" s="36">
        <f t="shared" si="3"/>
        <v>0.944752105002916</v>
      </c>
      <c r="G29" s="36">
        <f t="shared" si="4"/>
        <v>-0.369105725603125</v>
      </c>
      <c r="H29" s="36">
        <f t="shared" si="5"/>
        <v>0.13623903667301</v>
      </c>
      <c r="I29" s="36">
        <f t="shared" si="6"/>
        <v>4.23092837995566e-19</v>
      </c>
      <c r="J29" s="36">
        <f t="shared" si="7"/>
        <v>9.28333333333333e-21</v>
      </c>
      <c r="K29" s="36">
        <f t="shared" si="8"/>
        <v>363.475042958279</v>
      </c>
      <c r="L29" s="36">
        <f t="shared" si="9"/>
        <v>0.499313139719778</v>
      </c>
      <c r="M29" s="36">
        <f t="shared" si="10"/>
        <v>0.00137372056044324</v>
      </c>
      <c r="N29" s="10">
        <f t="shared" si="11"/>
        <v>-6.59023248254468</v>
      </c>
      <c r="O29" s="37">
        <f t="shared" si="12"/>
        <v>3.31771594756346e-18</v>
      </c>
    </row>
    <row r="30" spans="1:15">
      <c r="A30" s="15">
        <v>1</v>
      </c>
      <c r="B30" s="34">
        <f t="shared" si="13"/>
        <v>1e-9</v>
      </c>
      <c r="C30" s="34">
        <f t="shared" si="0"/>
        <v>-11.7859189764679</v>
      </c>
      <c r="D30" s="34">
        <f t="shared" si="1"/>
        <v>-4.73886049810811e-20</v>
      </c>
      <c r="E30" s="34">
        <f t="shared" si="2"/>
        <v>3.28712516667057e-18</v>
      </c>
      <c r="F30" s="34">
        <f t="shared" si="3"/>
        <v>0.566472305637123</v>
      </c>
      <c r="G30" s="34">
        <f t="shared" si="4"/>
        <v>-0.369105725603125</v>
      </c>
      <c r="H30" s="34">
        <f t="shared" si="5"/>
        <v>0.13623903667301</v>
      </c>
      <c r="I30" s="34">
        <f t="shared" si="6"/>
        <v>2.53685992514579e-19</v>
      </c>
      <c r="J30" s="34">
        <f t="shared" si="7"/>
        <v>9.28333333333333e-21</v>
      </c>
      <c r="K30" s="34">
        <f t="shared" si="8"/>
        <v>36.2354282581883</v>
      </c>
      <c r="L30" s="34">
        <f t="shared" si="9"/>
        <v>0.493194580494804</v>
      </c>
      <c r="M30" s="34">
        <f t="shared" si="10"/>
        <v>0.0136108390103918</v>
      </c>
      <c r="N30" s="5">
        <f t="shared" si="11"/>
        <v>-4.29688881760665</v>
      </c>
      <c r="O30" s="35">
        <f t="shared" si="12"/>
        <v>3.0107459749566e-19</v>
      </c>
    </row>
    <row r="31" spans="1:15">
      <c r="A31" s="14">
        <v>2</v>
      </c>
      <c r="B31" s="36">
        <f t="shared" si="13"/>
        <v>2e-9</v>
      </c>
      <c r="C31" s="36">
        <f t="shared" si="0"/>
        <v>1.27346576333719</v>
      </c>
      <c r="D31" s="36">
        <f t="shared" si="1"/>
        <v>5.12032758210957e-21</v>
      </c>
      <c r="E31" s="36">
        <f t="shared" si="2"/>
        <v>3.28712516667057e-18</v>
      </c>
      <c r="F31" s="36">
        <f t="shared" si="3"/>
        <v>0.320890873053838</v>
      </c>
      <c r="G31" s="36">
        <f t="shared" si="4"/>
        <v>-0.369105725603125</v>
      </c>
      <c r="H31" s="36">
        <f t="shared" si="5"/>
        <v>0.13623903667301</v>
      </c>
      <c r="I31" s="36">
        <f t="shared" si="6"/>
        <v>1.43706089087575e-19</v>
      </c>
      <c r="J31" s="36">
        <f t="shared" si="7"/>
        <v>9.28333333333333e-21</v>
      </c>
      <c r="K31" s="36">
        <f t="shared" si="8"/>
        <v>18.0558535919148</v>
      </c>
      <c r="L31" s="36">
        <f t="shared" si="9"/>
        <v>0.486527162506341</v>
      </c>
      <c r="M31" s="36">
        <f t="shared" si="10"/>
        <v>0.0269456749873184</v>
      </c>
      <c r="N31" s="10">
        <f t="shared" si="11"/>
        <v>-3.61393247735121</v>
      </c>
      <c r="O31" s="37">
        <f t="shared" si="12"/>
        <v>1.38585761505466e-19</v>
      </c>
    </row>
    <row r="32" spans="1:15">
      <c r="A32" s="15">
        <v>3</v>
      </c>
      <c r="B32" s="34">
        <f t="shared" si="13"/>
        <v>3e-9</v>
      </c>
      <c r="C32" s="34">
        <f t="shared" si="0"/>
        <v>-1.12831872216889</v>
      </c>
      <c r="D32" s="34">
        <f t="shared" si="1"/>
        <v>-4.53672304420032e-21</v>
      </c>
      <c r="E32" s="34">
        <f t="shared" si="2"/>
        <v>3.28712516667057e-18</v>
      </c>
      <c r="F32" s="34">
        <f t="shared" si="3"/>
        <v>0.181775792716717</v>
      </c>
      <c r="G32" s="34">
        <f t="shared" si="4"/>
        <v>-0.369105725603125</v>
      </c>
      <c r="H32" s="34">
        <f t="shared" si="5"/>
        <v>0.13623903667301</v>
      </c>
      <c r="I32" s="34">
        <f t="shared" si="6"/>
        <v>8.14055196195325e-20</v>
      </c>
      <c r="J32" s="34">
        <f t="shared" si="7"/>
        <v>9.28333333333333e-21</v>
      </c>
      <c r="K32" s="34">
        <f t="shared" si="8"/>
        <v>11.9962760310331</v>
      </c>
      <c r="L32" s="34">
        <f t="shared" si="9"/>
        <v>0.479994039874027</v>
      </c>
      <c r="M32" s="34">
        <f t="shared" si="10"/>
        <v>0.040011920251946</v>
      </c>
      <c r="N32" s="5">
        <f t="shared" si="11"/>
        <v>-3.21857786296461</v>
      </c>
      <c r="O32" s="35">
        <f t="shared" si="12"/>
        <v>8.59422426637328e-20</v>
      </c>
    </row>
    <row r="33" spans="1:15">
      <c r="A33" s="14">
        <v>4</v>
      </c>
      <c r="B33" s="36">
        <f t="shared" si="13"/>
        <v>4e-9</v>
      </c>
      <c r="C33" s="36">
        <f t="shared" si="0"/>
        <v>-3.53706219865437</v>
      </c>
      <c r="D33" s="36">
        <f t="shared" si="1"/>
        <v>-1.42217542526988e-20</v>
      </c>
      <c r="E33" s="36">
        <f t="shared" si="2"/>
        <v>3.28712516667057e-18</v>
      </c>
      <c r="F33" s="36">
        <f t="shared" si="3"/>
        <v>0.102970952409254</v>
      </c>
      <c r="G33" s="36">
        <f t="shared" si="4"/>
        <v>-0.369105725603125</v>
      </c>
      <c r="H33" s="36">
        <f t="shared" si="5"/>
        <v>0.13623903667301</v>
      </c>
      <c r="I33" s="36">
        <f t="shared" si="6"/>
        <v>4.61139723904646e-20</v>
      </c>
      <c r="J33" s="36">
        <f t="shared" si="7"/>
        <v>9.28333333333333e-21</v>
      </c>
      <c r="K33" s="36">
        <f t="shared" si="8"/>
        <v>8.96669560499186</v>
      </c>
      <c r="L33" s="36">
        <f t="shared" si="9"/>
        <v>0.473591630022605</v>
      </c>
      <c r="M33" s="36">
        <f t="shared" si="10"/>
        <v>0.0528167399547891</v>
      </c>
      <c r="N33" s="10">
        <f t="shared" si="11"/>
        <v>-2.94092709391966</v>
      </c>
      <c r="O33" s="37">
        <f t="shared" si="12"/>
        <v>6.03357266431634e-20</v>
      </c>
    </row>
    <row r="34" spans="1:15">
      <c r="A34" s="15">
        <v>5</v>
      </c>
      <c r="B34" s="34">
        <f t="shared" si="13"/>
        <v>5e-9</v>
      </c>
      <c r="C34" s="34">
        <f t="shared" si="0"/>
        <v>-4.79037952179428</v>
      </c>
      <c r="D34" s="34">
        <f t="shared" si="1"/>
        <v>-1.92610693592093e-20</v>
      </c>
      <c r="E34" s="34">
        <f t="shared" si="2"/>
        <v>3.28712516667057e-18</v>
      </c>
      <c r="F34" s="34">
        <f t="shared" si="3"/>
        <v>0.0583301928249208</v>
      </c>
      <c r="G34" s="34">
        <f t="shared" si="4"/>
        <v>-0.369105725603125</v>
      </c>
      <c r="H34" s="34">
        <f t="shared" si="5"/>
        <v>0.13623903667301</v>
      </c>
      <c r="I34" s="34">
        <f t="shared" si="6"/>
        <v>2.61222882621131e-20</v>
      </c>
      <c r="J34" s="34">
        <f t="shared" si="7"/>
        <v>9.28333333333333e-21</v>
      </c>
      <c r="K34" s="34">
        <f t="shared" si="8"/>
        <v>7.14911234284169</v>
      </c>
      <c r="L34" s="34">
        <f t="shared" si="9"/>
        <v>0.467316469049646</v>
      </c>
      <c r="M34" s="34">
        <f t="shared" si="10"/>
        <v>0.0653670619007077</v>
      </c>
      <c r="N34" s="5">
        <f t="shared" si="11"/>
        <v>-2.7277367880505</v>
      </c>
      <c r="O34" s="35">
        <f t="shared" si="12"/>
        <v>4.53833576213224e-20</v>
      </c>
    </row>
    <row r="35" spans="1:15">
      <c r="A35" s="14">
        <v>6</v>
      </c>
      <c r="B35" s="36">
        <f t="shared" si="13"/>
        <v>6e-9</v>
      </c>
      <c r="C35" s="36">
        <f t="shared" si="0"/>
        <v>-5.19352022278276</v>
      </c>
      <c r="D35" s="36">
        <f t="shared" si="1"/>
        <v>-2.08820100316408e-20</v>
      </c>
      <c r="E35" s="36">
        <f t="shared" si="2"/>
        <v>3.28712516667057e-18</v>
      </c>
      <c r="F35" s="36">
        <f t="shared" si="3"/>
        <v>0.0330424388177908</v>
      </c>
      <c r="G35" s="36">
        <f t="shared" si="4"/>
        <v>-0.369105725603125</v>
      </c>
      <c r="H35" s="36">
        <f t="shared" si="5"/>
        <v>0.13623903667301</v>
      </c>
      <c r="I35" s="36">
        <f t="shared" si="6"/>
        <v>1.47975528603568e-20</v>
      </c>
      <c r="J35" s="36">
        <f t="shared" si="7"/>
        <v>9.28333333333333e-21</v>
      </c>
      <c r="K35" s="36">
        <f t="shared" si="8"/>
        <v>5.93752627324171</v>
      </c>
      <c r="L35" s="36">
        <f t="shared" si="9"/>
        <v>0.461165207039363</v>
      </c>
      <c r="M35" s="36">
        <f t="shared" si="10"/>
        <v>0.077669585921273</v>
      </c>
      <c r="N35" s="10">
        <f t="shared" si="11"/>
        <v>-2.55529152782174</v>
      </c>
      <c r="O35" s="37">
        <f t="shared" si="12"/>
        <v>3.56795628919975e-20</v>
      </c>
    </row>
    <row r="36" spans="1:15">
      <c r="A36" s="15">
        <v>7</v>
      </c>
      <c r="B36" s="34">
        <f t="shared" si="13"/>
        <v>7e-9</v>
      </c>
      <c r="C36" s="34">
        <f t="shared" si="0"/>
        <v>-5.11053110426463</v>
      </c>
      <c r="D36" s="34">
        <f t="shared" si="1"/>
        <v>-2.05483289192018e-20</v>
      </c>
      <c r="E36" s="34">
        <f t="shared" si="2"/>
        <v>3.28712516667057e-18</v>
      </c>
      <c r="F36" s="34">
        <f t="shared" si="3"/>
        <v>0.0187176265009875</v>
      </c>
      <c r="G36" s="34">
        <f t="shared" si="4"/>
        <v>-0.369105725603125</v>
      </c>
      <c r="H36" s="34">
        <f t="shared" si="5"/>
        <v>0.13623903667301</v>
      </c>
      <c r="I36" s="34">
        <f t="shared" si="6"/>
        <v>8.3824038865935e-21</v>
      </c>
      <c r="J36" s="34">
        <f t="shared" si="7"/>
        <v>9.28333333333333e-21</v>
      </c>
      <c r="K36" s="34">
        <f t="shared" si="8"/>
        <v>5.07222313875194</v>
      </c>
      <c r="L36" s="34">
        <f t="shared" si="9"/>
        <v>0.455134603590912</v>
      </c>
      <c r="M36" s="34">
        <f t="shared" si="10"/>
        <v>0.0897307928181765</v>
      </c>
      <c r="N36" s="5">
        <f t="shared" si="11"/>
        <v>-2.41094128211356</v>
      </c>
      <c r="O36" s="35">
        <f t="shared" si="12"/>
        <v>2.89307328057953e-20</v>
      </c>
    </row>
    <row r="37" spans="1:15">
      <c r="A37" s="14">
        <v>8</v>
      </c>
      <c r="B37" s="36">
        <f t="shared" si="13"/>
        <v>8e-9</v>
      </c>
      <c r="C37" s="36">
        <f t="shared" si="0"/>
        <v>-4.78837901577852</v>
      </c>
      <c r="D37" s="36">
        <f t="shared" si="1"/>
        <v>-1.92530257616305e-20</v>
      </c>
      <c r="E37" s="36">
        <f t="shared" si="2"/>
        <v>3.28712516667057e-18</v>
      </c>
      <c r="F37" s="36">
        <f t="shared" si="3"/>
        <v>0.0106030170400689</v>
      </c>
      <c r="G37" s="36">
        <f t="shared" si="4"/>
        <v>-0.369105725603125</v>
      </c>
      <c r="H37" s="36">
        <f t="shared" si="5"/>
        <v>0.13623903667301</v>
      </c>
      <c r="I37" s="36">
        <f t="shared" si="6"/>
        <v>4.7483996564202e-21</v>
      </c>
      <c r="J37" s="36">
        <f t="shared" si="7"/>
        <v>9.28333333333333e-21</v>
      </c>
      <c r="K37" s="36">
        <f t="shared" si="8"/>
        <v>4.42334582441114</v>
      </c>
      <c r="L37" s="36">
        <f t="shared" si="9"/>
        <v>0.449221523550013</v>
      </c>
      <c r="M37" s="36">
        <f t="shared" si="10"/>
        <v>0.101556952899973</v>
      </c>
      <c r="N37" s="10">
        <f t="shared" si="11"/>
        <v>-2.28713552554994</v>
      </c>
      <c r="O37" s="37">
        <f t="shared" si="12"/>
        <v>2.40014254180507e-20</v>
      </c>
    </row>
    <row r="38" spans="1:15">
      <c r="A38" s="15">
        <v>9</v>
      </c>
      <c r="B38" s="34">
        <f t="shared" si="13"/>
        <v>9e-9</v>
      </c>
      <c r="C38" s="34">
        <f t="shared" si="0"/>
        <v>-4.37160251410257</v>
      </c>
      <c r="D38" s="34">
        <f t="shared" si="1"/>
        <v>-1.75772585140571e-20</v>
      </c>
      <c r="E38" s="34">
        <f t="shared" si="2"/>
        <v>3.28712516667057e-18</v>
      </c>
      <c r="F38" s="34">
        <f t="shared" si="3"/>
        <v>0.00600631550939755</v>
      </c>
      <c r="G38" s="34">
        <f t="shared" si="4"/>
        <v>-0.369105725603125</v>
      </c>
      <c r="H38" s="34">
        <f t="shared" si="5"/>
        <v>0.13623903667301</v>
      </c>
      <c r="I38" s="34">
        <f t="shared" si="6"/>
        <v>2.68983690145887e-21</v>
      </c>
      <c r="J38" s="34">
        <f t="shared" si="7"/>
        <v>9.28333333333333e-21</v>
      </c>
      <c r="K38" s="34">
        <f t="shared" si="8"/>
        <v>3.91875150060024</v>
      </c>
      <c r="L38" s="34">
        <f t="shared" si="9"/>
        <v>0.443422932933422</v>
      </c>
      <c r="M38" s="34">
        <f t="shared" si="10"/>
        <v>0.113154134133155</v>
      </c>
      <c r="N38" s="5">
        <f t="shared" si="11"/>
        <v>-2.17900437082099</v>
      </c>
      <c r="O38" s="35">
        <f t="shared" si="12"/>
        <v>2.0267095415516e-20</v>
      </c>
    </row>
    <row r="39" spans="1:15">
      <c r="A39" s="14">
        <v>10</v>
      </c>
      <c r="B39" s="36">
        <f t="shared" si="13"/>
        <v>1e-8</v>
      </c>
      <c r="C39" s="36">
        <f t="shared" si="0"/>
        <v>-3.93779849207309</v>
      </c>
      <c r="D39" s="36">
        <f t="shared" si="1"/>
        <v>-1.58330273276554e-20</v>
      </c>
      <c r="E39" s="36">
        <f t="shared" si="2"/>
        <v>3.28712516667057e-18</v>
      </c>
      <c r="F39" s="36">
        <f t="shared" si="3"/>
        <v>0.00340241139499244</v>
      </c>
      <c r="G39" s="36">
        <f t="shared" si="4"/>
        <v>-0.369105725603125</v>
      </c>
      <c r="H39" s="36">
        <f t="shared" si="5"/>
        <v>0.13623903667301</v>
      </c>
      <c r="I39" s="36">
        <f t="shared" si="6"/>
        <v>1.52371811135722e-21</v>
      </c>
      <c r="J39" s="36">
        <f t="shared" si="7"/>
        <v>9.28333333333333e-21</v>
      </c>
      <c r="K39" s="36">
        <f t="shared" si="8"/>
        <v>3.51515448019144</v>
      </c>
      <c r="L39" s="36">
        <f t="shared" si="9"/>
        <v>0.437735895036327</v>
      </c>
      <c r="M39" s="36">
        <f t="shared" si="10"/>
        <v>0.124528209927345</v>
      </c>
      <c r="N39" s="10">
        <f t="shared" si="11"/>
        <v>-2.08322300298224</v>
      </c>
      <c r="O39" s="37">
        <f t="shared" si="12"/>
        <v>1.73567454390126e-20</v>
      </c>
    </row>
    <row r="40" spans="1:15">
      <c r="A40" s="15">
        <v>20</v>
      </c>
      <c r="B40" s="34">
        <f t="shared" si="13"/>
        <v>2e-8</v>
      </c>
      <c r="C40" s="34">
        <f t="shared" si="0"/>
        <v>-1.39643772935998</v>
      </c>
      <c r="D40" s="34">
        <f t="shared" si="1"/>
        <v>-5.61477098811262e-21</v>
      </c>
      <c r="E40" s="34">
        <f t="shared" si="2"/>
        <v>3.28712516667057e-18</v>
      </c>
      <c r="F40" s="34">
        <f t="shared" si="3"/>
        <v>1.15764033007744e-5</v>
      </c>
      <c r="G40" s="34">
        <f t="shared" si="4"/>
        <v>-0.369105725603125</v>
      </c>
      <c r="H40" s="34">
        <f t="shared" si="5"/>
        <v>0.13623903667301</v>
      </c>
      <c r="I40" s="34">
        <f t="shared" si="6"/>
        <v>5.18431586483817e-24</v>
      </c>
      <c r="J40" s="34">
        <f t="shared" si="7"/>
        <v>9.28333333333333e-21</v>
      </c>
      <c r="K40" s="34">
        <f t="shared" si="8"/>
        <v>1.70104168811117</v>
      </c>
      <c r="L40" s="34">
        <f t="shared" si="9"/>
        <v>0.386417417102836</v>
      </c>
      <c r="M40" s="34">
        <f t="shared" si="10"/>
        <v>0.227165165794327</v>
      </c>
      <c r="N40" s="5">
        <f t="shared" si="11"/>
        <v>-1.48207792345701</v>
      </c>
      <c r="O40" s="35">
        <f t="shared" si="12"/>
        <v>5.61995530397745e-21</v>
      </c>
    </row>
    <row r="41" spans="1:15">
      <c r="A41" s="14">
        <v>30</v>
      </c>
      <c r="B41" s="36">
        <f t="shared" si="13"/>
        <v>3e-8</v>
      </c>
      <c r="C41" s="36">
        <f t="shared" si="0"/>
        <v>-0.646420953104551</v>
      </c>
      <c r="D41" s="36">
        <f t="shared" si="1"/>
        <v>-2.59911740945514e-21</v>
      </c>
      <c r="E41" s="36">
        <f t="shared" si="2"/>
        <v>3.28712516667057e-18</v>
      </c>
      <c r="F41" s="36">
        <f t="shared" si="3"/>
        <v>3.9387686503583e-8</v>
      </c>
      <c r="G41" s="36">
        <f t="shared" si="4"/>
        <v>-0.369105725603125</v>
      </c>
      <c r="H41" s="36">
        <f t="shared" si="5"/>
        <v>0.13623903667301</v>
      </c>
      <c r="I41" s="36">
        <f t="shared" si="6"/>
        <v>1.76391753737655e-26</v>
      </c>
      <c r="J41" s="36">
        <f t="shared" si="7"/>
        <v>9.28333333333333e-21</v>
      </c>
      <c r="K41" s="36">
        <f t="shared" si="8"/>
        <v>1.0986866118175</v>
      </c>
      <c r="L41" s="36">
        <f t="shared" si="9"/>
        <v>0.343621634063863</v>
      </c>
      <c r="M41" s="36">
        <f t="shared" si="10"/>
        <v>0.312756731872274</v>
      </c>
      <c r="N41" s="10">
        <f t="shared" si="11"/>
        <v>-1.16232960509531</v>
      </c>
      <c r="O41" s="37">
        <f t="shared" si="12"/>
        <v>2.59913504863052e-21</v>
      </c>
    </row>
    <row r="42" spans="1:15">
      <c r="A42" s="15">
        <v>40</v>
      </c>
      <c r="B42" s="34">
        <f t="shared" si="13"/>
        <v>4e-8</v>
      </c>
      <c r="C42" s="34">
        <f t="shared" si="0"/>
        <v>-0.35058417542301</v>
      </c>
      <c r="D42" s="34">
        <f t="shared" si="1"/>
        <v>-1.40962236673359e-21</v>
      </c>
      <c r="E42" s="34">
        <f t="shared" si="2"/>
        <v>3.28712516667057e-18</v>
      </c>
      <c r="F42" s="34">
        <f t="shared" si="3"/>
        <v>1.3401311338218e-10</v>
      </c>
      <c r="G42" s="34">
        <f t="shared" si="4"/>
        <v>-0.369105725603125</v>
      </c>
      <c r="H42" s="34">
        <f t="shared" si="5"/>
        <v>0.13623903667301</v>
      </c>
      <c r="I42" s="34">
        <f t="shared" si="6"/>
        <v>6.00157312899696e-29</v>
      </c>
      <c r="J42" s="34">
        <f t="shared" si="7"/>
        <v>9.28333333333333e-21</v>
      </c>
      <c r="K42" s="34">
        <f t="shared" si="8"/>
        <v>0.799111218568665</v>
      </c>
      <c r="L42" s="34">
        <f t="shared" si="9"/>
        <v>0.307560741200091</v>
      </c>
      <c r="M42" s="34">
        <f t="shared" si="10"/>
        <v>0.384878517599817</v>
      </c>
      <c r="N42" s="5">
        <f t="shared" si="11"/>
        <v>-0.954827533188937</v>
      </c>
      <c r="O42" s="35">
        <f t="shared" si="12"/>
        <v>1.40962242674932e-21</v>
      </c>
    </row>
    <row r="43" spans="1:15">
      <c r="A43" s="14">
        <v>50</v>
      </c>
      <c r="B43" s="36">
        <f t="shared" si="13"/>
        <v>5e-8</v>
      </c>
      <c r="C43" s="36">
        <f t="shared" si="0"/>
        <v>-0.208889413134546</v>
      </c>
      <c r="D43" s="36">
        <f t="shared" si="1"/>
        <v>-8.39898687877239e-22</v>
      </c>
      <c r="E43" s="36">
        <f t="shared" si="2"/>
        <v>3.28712516667057e-18</v>
      </c>
      <c r="F43" s="36">
        <f t="shared" si="3"/>
        <v>4.55967744049944e-13</v>
      </c>
      <c r="G43" s="36">
        <f t="shared" si="4"/>
        <v>-0.369105725603125</v>
      </c>
      <c r="H43" s="36">
        <f t="shared" si="5"/>
        <v>0.13623903667301</v>
      </c>
      <c r="I43" s="36">
        <f t="shared" si="6"/>
        <v>2.04198208019797e-31</v>
      </c>
      <c r="J43" s="36">
        <f t="shared" si="7"/>
        <v>9.28333333333333e-21</v>
      </c>
      <c r="K43" s="36">
        <f t="shared" si="8"/>
        <v>0.620534897911289</v>
      </c>
      <c r="L43" s="36">
        <f t="shared" si="9"/>
        <v>0.276892267732127</v>
      </c>
      <c r="M43" s="36">
        <f t="shared" si="10"/>
        <v>0.446215464535746</v>
      </c>
      <c r="N43" s="10">
        <f t="shared" si="11"/>
        <v>-0.806953339279168</v>
      </c>
      <c r="O43" s="37">
        <f t="shared" si="12"/>
        <v>8.39898688081437e-22</v>
      </c>
    </row>
    <row r="44" spans="1:15">
      <c r="A44" s="15">
        <v>60</v>
      </c>
      <c r="B44" s="34">
        <f t="shared" si="13"/>
        <v>6e-8</v>
      </c>
      <c r="C44" s="34">
        <f t="shared" si="0"/>
        <v>-0.132637979659576</v>
      </c>
      <c r="D44" s="34">
        <f t="shared" si="1"/>
        <v>-5.33308334812599e-22</v>
      </c>
      <c r="E44" s="34">
        <f t="shared" si="2"/>
        <v>3.28712516667057e-18</v>
      </c>
      <c r="F44" s="34">
        <f t="shared" si="3"/>
        <v>1.55138984810453e-15</v>
      </c>
      <c r="G44" s="34">
        <f t="shared" si="4"/>
        <v>-0.369105725603125</v>
      </c>
      <c r="H44" s="34">
        <f t="shared" si="5"/>
        <v>0.13623903667301</v>
      </c>
      <c r="I44" s="34">
        <f t="shared" si="6"/>
        <v>6.94766309803597e-34</v>
      </c>
      <c r="J44" s="34">
        <f t="shared" si="7"/>
        <v>9.28333333333333e-21</v>
      </c>
      <c r="K44" s="34">
        <f t="shared" si="8"/>
        <v>0.502374829001368</v>
      </c>
      <c r="L44" s="34">
        <f t="shared" si="9"/>
        <v>0.25059230063761</v>
      </c>
      <c r="M44" s="34">
        <f t="shared" si="10"/>
        <v>0.498815398724779</v>
      </c>
      <c r="N44" s="5">
        <f t="shared" si="11"/>
        <v>-0.695519194111514</v>
      </c>
      <c r="O44" s="35">
        <f t="shared" si="12"/>
        <v>5.33308334813294e-22</v>
      </c>
    </row>
    <row r="45" spans="1:15">
      <c r="A45" s="14">
        <v>70</v>
      </c>
      <c r="B45" s="36">
        <f t="shared" si="13"/>
        <v>7e-8</v>
      </c>
      <c r="C45" s="36">
        <f t="shared" si="0"/>
        <v>-0.0882428579433308</v>
      </c>
      <c r="D45" s="36">
        <f t="shared" si="1"/>
        <v>-3.54805250725673e-22</v>
      </c>
      <c r="E45" s="36">
        <f t="shared" si="2"/>
        <v>3.28712516667057e-18</v>
      </c>
      <c r="F45" s="36">
        <f t="shared" si="3"/>
        <v>5.27846649726643e-18</v>
      </c>
      <c r="G45" s="36">
        <f t="shared" si="4"/>
        <v>-0.369105725603125</v>
      </c>
      <c r="H45" s="36">
        <f t="shared" si="5"/>
        <v>0.13623903667301</v>
      </c>
      <c r="I45" s="36">
        <f t="shared" si="6"/>
        <v>2.3638808093326e-36</v>
      </c>
      <c r="J45" s="36">
        <f t="shared" si="7"/>
        <v>9.28333333333333e-21</v>
      </c>
      <c r="K45" s="36">
        <f t="shared" si="8"/>
        <v>0.418674858282927</v>
      </c>
      <c r="L45" s="36">
        <f t="shared" si="9"/>
        <v>0.227868899702699</v>
      </c>
      <c r="M45" s="36">
        <f t="shared" si="10"/>
        <v>0.544262200594602</v>
      </c>
      <c r="N45" s="10">
        <f t="shared" si="11"/>
        <v>-0.608324161857188</v>
      </c>
      <c r="O45" s="37">
        <f t="shared" si="12"/>
        <v>3.54805250725675e-22</v>
      </c>
    </row>
    <row r="46" spans="1:15">
      <c r="A46" s="15">
        <v>80</v>
      </c>
      <c r="B46" s="34">
        <f t="shared" si="13"/>
        <v>8e-8</v>
      </c>
      <c r="C46" s="34">
        <f t="shared" si="0"/>
        <v>-0.0608650637190586</v>
      </c>
      <c r="D46" s="34">
        <f t="shared" si="1"/>
        <v>-2.44725122197912e-22</v>
      </c>
      <c r="E46" s="34">
        <f t="shared" si="2"/>
        <v>3.28712516667057e-18</v>
      </c>
      <c r="F46" s="34">
        <f t="shared" si="3"/>
        <v>1.7959514558385e-20</v>
      </c>
      <c r="G46" s="34">
        <f t="shared" si="4"/>
        <v>-0.369105725603125</v>
      </c>
      <c r="H46" s="34">
        <f t="shared" si="5"/>
        <v>0.13623903667301</v>
      </c>
      <c r="I46" s="34">
        <f t="shared" si="6"/>
        <v>8.04289500207714e-39</v>
      </c>
      <c r="J46" s="34">
        <f t="shared" si="7"/>
        <v>9.28333333333333e-21</v>
      </c>
      <c r="K46" s="34">
        <f t="shared" si="8"/>
        <v>0.356462899050906</v>
      </c>
      <c r="L46" s="34">
        <f t="shared" si="9"/>
        <v>0.20810177501321</v>
      </c>
      <c r="M46" s="34">
        <f t="shared" si="10"/>
        <v>0.583796449973581</v>
      </c>
      <c r="N46" s="5">
        <f t="shared" si="11"/>
        <v>-0.538202901475472</v>
      </c>
      <c r="O46" s="35">
        <f t="shared" si="12"/>
        <v>2.44725122197912e-22</v>
      </c>
    </row>
    <row r="47" spans="1:15">
      <c r="A47" s="14">
        <v>90</v>
      </c>
      <c r="B47" s="36">
        <f t="shared" si="13"/>
        <v>9e-8</v>
      </c>
      <c r="C47" s="36">
        <f t="shared" si="0"/>
        <v>-0.0432172736271022</v>
      </c>
      <c r="D47" s="36">
        <f t="shared" si="1"/>
        <v>-1.73767214280291e-22</v>
      </c>
      <c r="E47" s="36">
        <f t="shared" si="2"/>
        <v>3.28712516667057e-18</v>
      </c>
      <c r="F47" s="36">
        <f t="shared" si="3"/>
        <v>6.1105656981982e-23</v>
      </c>
      <c r="G47" s="36">
        <f t="shared" si="4"/>
        <v>-0.369105725603125</v>
      </c>
      <c r="H47" s="36">
        <f t="shared" si="5"/>
        <v>0.13623903667301</v>
      </c>
      <c r="I47" s="36">
        <f t="shared" si="6"/>
        <v>2.73652376037951e-41</v>
      </c>
      <c r="J47" s="36">
        <f t="shared" si="7"/>
        <v>9.28333333333333e-21</v>
      </c>
      <c r="K47" s="36">
        <f t="shared" si="8"/>
        <v>0.308536862003781</v>
      </c>
      <c r="L47" s="36">
        <f t="shared" si="9"/>
        <v>0.190799502473604</v>
      </c>
      <c r="M47" s="36">
        <f t="shared" si="10"/>
        <v>0.618400995052792</v>
      </c>
      <c r="N47" s="10">
        <f t="shared" si="11"/>
        <v>-0.480618172633906</v>
      </c>
      <c r="O47" s="37">
        <f t="shared" si="12"/>
        <v>1.73767214280291e-22</v>
      </c>
    </row>
    <row r="48" spans="1:15">
      <c r="A48" s="15">
        <v>100</v>
      </c>
      <c r="B48" s="34">
        <f t="shared" si="13"/>
        <v>1e-7</v>
      </c>
      <c r="C48" s="34">
        <f t="shared" si="0"/>
        <v>-0.0314315151812829</v>
      </c>
      <c r="D48" s="34">
        <f t="shared" si="1"/>
        <v>-1.26379254757872e-22</v>
      </c>
      <c r="E48" s="34">
        <f t="shared" si="2"/>
        <v>3.28712516667057e-18</v>
      </c>
      <c r="F48" s="34">
        <f t="shared" si="3"/>
        <v>2.07906583613996e-25</v>
      </c>
      <c r="G48" s="34">
        <f t="shared" si="4"/>
        <v>-0.369105725603125</v>
      </c>
      <c r="H48" s="34">
        <f t="shared" si="5"/>
        <v>0.13623903667301</v>
      </c>
      <c r="I48" s="34">
        <f t="shared" si="6"/>
        <v>9.31077962498282e-44</v>
      </c>
      <c r="J48" s="34">
        <f t="shared" si="7"/>
        <v>9.28333333333333e-21</v>
      </c>
      <c r="K48" s="34">
        <f t="shared" si="8"/>
        <v>0.270579124027835</v>
      </c>
      <c r="L48" s="34">
        <f t="shared" si="9"/>
        <v>0.175568683079235</v>
      </c>
      <c r="M48" s="34">
        <f t="shared" si="10"/>
        <v>0.64886263384153</v>
      </c>
      <c r="N48" s="5">
        <f t="shared" si="11"/>
        <v>-0.432534242860261</v>
      </c>
      <c r="O48" s="35">
        <f t="shared" si="12"/>
        <v>1.26379254757872e-22</v>
      </c>
    </row>
    <row r="49" spans="1:15">
      <c r="A49" s="38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9">
        <f t="shared" si="10"/>
        <v>0</v>
      </c>
      <c r="N49" s="40"/>
      <c r="O49" s="41"/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49"/>
  <sheetViews>
    <sheetView zoomScale="85" zoomScaleNormal="85" topLeftCell="A21" workbookViewId="0">
      <selection activeCell="A25" sqref="A25:O49"/>
    </sheetView>
  </sheetViews>
  <sheetFormatPr defaultColWidth="9.10576923076923" defaultRowHeight="16.8"/>
  <cols>
    <col min="2" max="2" width="36" customWidth="1"/>
    <col min="3" max="3" width="12" customWidth="1"/>
    <col min="4" max="4" width="9.44230769230769" customWidth="1"/>
    <col min="5" max="5" width="22.7788461538462" customWidth="1"/>
    <col min="6" max="6" width="12.5576923076923" customWidth="1"/>
    <col min="7" max="7" width="12" customWidth="1"/>
    <col min="8" max="8" width="26.1057692307692" customWidth="1"/>
    <col min="9" max="9" width="31.7788461538462" customWidth="1"/>
    <col min="10" max="10" width="9.23076923076923"/>
    <col min="11" max="11" width="13.1057692307692" customWidth="1"/>
    <col min="12" max="12" width="16" customWidth="1"/>
    <col min="13" max="13" width="10"/>
    <col min="14" max="14" width="14.0769230769231"/>
    <col min="15" max="15" width="9.23076923076923"/>
  </cols>
  <sheetData>
    <row r="3" spans="1:7">
      <c r="A3" s="1" t="s">
        <v>0</v>
      </c>
      <c r="B3" s="2" t="s">
        <v>1</v>
      </c>
      <c r="C3" s="2" t="s">
        <v>2</v>
      </c>
      <c r="D3" s="2" t="s">
        <v>3</v>
      </c>
      <c r="E3" s="3" t="s">
        <v>70</v>
      </c>
    </row>
    <row r="4" spans="1:7">
      <c r="A4" s="4" t="s">
        <v>5</v>
      </c>
      <c r="B4" s="5" t="s">
        <v>6</v>
      </c>
      <c r="C4" s="6">
        <v>5.57e-20</v>
      </c>
      <c r="D4" s="5" t="s">
        <v>7</v>
      </c>
      <c r="E4" s="7"/>
      <c r="G4" s="8"/>
    </row>
    <row r="5" spans="1:7">
      <c r="A5" s="9" t="s">
        <v>9</v>
      </c>
      <c r="B5" s="10" t="s">
        <v>76</v>
      </c>
      <c r="C5" s="11">
        <f>0.1/1000</f>
        <v>0.0001</v>
      </c>
      <c r="D5" s="10" t="s">
        <v>77</v>
      </c>
      <c r="E5" s="12" t="s">
        <v>78</v>
      </c>
      <c r="G5" s="8"/>
    </row>
    <row r="6" spans="1:7">
      <c r="A6" s="4" t="s">
        <v>12</v>
      </c>
      <c r="B6" s="5" t="s">
        <v>13</v>
      </c>
      <c r="C6" s="13">
        <f>0.3/1000</f>
        <v>0.0003</v>
      </c>
      <c r="D6" s="5"/>
      <c r="E6" s="7"/>
      <c r="G6" s="8"/>
    </row>
    <row r="7" ht="20" spans="1:7">
      <c r="A7" s="14" t="s">
        <v>15</v>
      </c>
      <c r="B7" s="10" t="s">
        <v>16</v>
      </c>
      <c r="C7" s="11">
        <v>1.381e-23</v>
      </c>
      <c r="D7" s="10" t="s">
        <v>71</v>
      </c>
      <c r="E7" s="12"/>
    </row>
    <row r="8" ht="20" spans="1:7">
      <c r="A8" s="15" t="s">
        <v>19</v>
      </c>
      <c r="B8" s="5"/>
      <c r="C8" s="13">
        <f>C7*C14</f>
        <v>4.0207815e-21</v>
      </c>
      <c r="D8" s="5"/>
      <c r="E8" s="7"/>
    </row>
    <row r="9" spans="1:7">
      <c r="A9" s="9" t="s">
        <v>20</v>
      </c>
      <c r="B9" s="10" t="s">
        <v>21</v>
      </c>
      <c r="C9" s="11">
        <f>C11*C12*1000</f>
        <v>2.408e+23</v>
      </c>
      <c r="D9" s="10" t="s">
        <v>22</v>
      </c>
      <c r="E9" s="12"/>
    </row>
    <row r="10" spans="1:7">
      <c r="A10" s="4"/>
      <c r="B10" s="5" t="s">
        <v>24</v>
      </c>
      <c r="C10" s="5"/>
      <c r="D10" s="5"/>
      <c r="E10" s="7"/>
    </row>
    <row r="11" spans="1:7">
      <c r="A11" s="9"/>
      <c r="B11" s="10" t="s">
        <v>26</v>
      </c>
      <c r="C11" s="11">
        <v>6.02e+23</v>
      </c>
      <c r="D11" s="10"/>
      <c r="E11" s="12"/>
    </row>
    <row r="12" spans="1:7">
      <c r="A12" s="4"/>
      <c r="B12" s="5" t="s">
        <v>28</v>
      </c>
      <c r="C12" s="13">
        <f>4*C5</f>
        <v>0.0004</v>
      </c>
      <c r="D12" s="5"/>
      <c r="E12" s="7"/>
    </row>
    <row r="13" spans="1:7">
      <c r="A13" s="9" t="s">
        <v>30</v>
      </c>
      <c r="B13" s="10" t="s">
        <v>31</v>
      </c>
      <c r="C13" s="11">
        <f>61.4/1000000000</f>
        <v>6.14e-8</v>
      </c>
      <c r="D13" s="10" t="s">
        <v>32</v>
      </c>
      <c r="E13" s="12"/>
    </row>
    <row r="14" spans="1:7">
      <c r="A14" s="4" t="s">
        <v>34</v>
      </c>
      <c r="B14" s="5" t="s">
        <v>35</v>
      </c>
      <c r="C14" s="16">
        <v>291.15</v>
      </c>
      <c r="D14" s="5" t="s">
        <v>36</v>
      </c>
      <c r="E14" s="7"/>
    </row>
    <row r="15" spans="1:7">
      <c r="A15" s="9" t="s">
        <v>38</v>
      </c>
      <c r="B15" s="10"/>
      <c r="C15" s="17">
        <v>3</v>
      </c>
      <c r="D15" s="10"/>
      <c r="E15" s="12"/>
    </row>
    <row r="16" ht="18.75" customHeight="1" spans="1:7">
      <c r="A16" s="4" t="s">
        <v>39</v>
      </c>
      <c r="B16" s="18" t="s">
        <v>40</v>
      </c>
      <c r="C16" s="19">
        <f>C17*C18</f>
        <v>7.0832e-10</v>
      </c>
      <c r="D16" s="18" t="s">
        <v>41</v>
      </c>
      <c r="E16" s="20"/>
      <c r="F16" s="21"/>
      <c r="G16" s="21"/>
    </row>
    <row r="17" ht="21.75" customHeight="1" spans="1:15">
      <c r="A17" s="9"/>
      <c r="B17" s="22" t="s">
        <v>43</v>
      </c>
      <c r="C17" s="23">
        <v>8.854e-12</v>
      </c>
      <c r="D17" s="22"/>
      <c r="E17" s="24"/>
      <c r="F17" s="21"/>
      <c r="G17" s="21"/>
    </row>
    <row r="18" ht="23.25" customHeight="1" spans="1:15">
      <c r="A18" s="4"/>
      <c r="B18" s="18" t="s">
        <v>45</v>
      </c>
      <c r="C18" s="25">
        <v>80</v>
      </c>
      <c r="D18" s="18"/>
      <c r="E18" s="20"/>
      <c r="F18" s="21"/>
      <c r="G18" s="21"/>
    </row>
    <row r="19" ht="17" spans="1:15">
      <c r="A19" s="9" t="s">
        <v>46</v>
      </c>
      <c r="B19" s="10" t="s">
        <v>47</v>
      </c>
      <c r="C19" s="11">
        <f>1/((4.31*POWER(2*C6,-0.5)/10000000000))</f>
        <v>56832708.6492617</v>
      </c>
      <c r="D19" s="10" t="s">
        <v>48</v>
      </c>
      <c r="E19" s="12"/>
    </row>
    <row r="20" spans="1:15">
      <c r="A20" s="4" t="s">
        <v>50</v>
      </c>
      <c r="B20" s="5"/>
      <c r="C20" s="16">
        <v>3.1416</v>
      </c>
      <c r="D20" s="5"/>
      <c r="E20" s="7"/>
    </row>
    <row r="21" ht="18.75" customHeight="1" spans="1:15">
      <c r="A21" s="9" t="s">
        <v>51</v>
      </c>
      <c r="B21" s="26" t="s">
        <v>52</v>
      </c>
      <c r="C21" s="23">
        <f>-27.17/1000</f>
        <v>-0.02717</v>
      </c>
      <c r="D21" s="26" t="s">
        <v>53</v>
      </c>
      <c r="E21" s="27"/>
      <c r="F21" s="28"/>
      <c r="G21" s="28"/>
    </row>
    <row r="22" ht="17.25" customHeight="1" spans="1:15">
      <c r="A22" s="29" t="s">
        <v>55</v>
      </c>
      <c r="B22" s="30"/>
      <c r="C22" s="31">
        <v>1.6e-19</v>
      </c>
      <c r="D22" s="30"/>
      <c r="E22" s="32"/>
      <c r="F22" s="28"/>
      <c r="G22" s="28"/>
    </row>
    <row r="23" ht="17.25" customHeight="1" spans="1:15">
      <c r="A23" s="28"/>
      <c r="B23" s="28"/>
      <c r="C23" s="28"/>
      <c r="D23" s="28"/>
      <c r="E23" s="28"/>
      <c r="F23" s="28"/>
      <c r="G23" s="28"/>
    </row>
    <row r="24" ht="17.25" customHeight="1" spans="1:15">
      <c r="A24" s="28"/>
      <c r="B24" s="28"/>
      <c r="C24" s="28"/>
      <c r="D24" s="28"/>
      <c r="E24" s="28"/>
      <c r="F24" s="28"/>
      <c r="G24" s="28"/>
    </row>
    <row r="25" ht="20" spans="1:15">
      <c r="A25" s="33"/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62</v>
      </c>
      <c r="I25" s="2" t="s">
        <v>63</v>
      </c>
      <c r="J25" s="2" t="s">
        <v>64</v>
      </c>
      <c r="K25" s="2" t="s">
        <v>65</v>
      </c>
      <c r="L25" s="2" t="s">
        <v>66</v>
      </c>
      <c r="M25" s="2" t="s">
        <v>67</v>
      </c>
      <c r="N25" s="2" t="s">
        <v>68</v>
      </c>
      <c r="O25" s="3"/>
    </row>
    <row r="26" spans="1:15">
      <c r="A26" s="15">
        <v>0.0001</v>
      </c>
      <c r="B26" s="34">
        <v>1e-9</v>
      </c>
      <c r="C26" s="34">
        <f t="shared" ref="C26:C48" si="0">D26/$C$8</f>
        <v>328.222331725807</v>
      </c>
      <c r="D26" s="34">
        <f t="shared" ref="D26:D48" si="1">I26-O26</f>
        <v>1.31971027928999e-18</v>
      </c>
      <c r="E26" s="34">
        <f t="shared" ref="E26:E48" si="2">64*$C$20*$C$9*$C$13*$C$7*$C$14/$C$19/$C$19</f>
        <v>3.70057728701087e-18</v>
      </c>
      <c r="F26" s="34">
        <f t="shared" ref="F26:F48" si="3">EXP(-$C$19*B26)</f>
        <v>0.944752105002916</v>
      </c>
      <c r="G26" s="34">
        <f t="shared" ref="G26:G48" si="4">(EXP($C$15*$C$22*$C$21/2/$C$7/$C$14)-1)/(EXP($C$15*$C$22*$C$21/2/$C$7/$C$14)+1)</f>
        <v>-0.670079357225707</v>
      </c>
      <c r="H26" s="34">
        <f t="shared" ref="H26:H48" si="5">POWER($G26,2)</f>
        <v>0.449006344980016</v>
      </c>
      <c r="I26" s="34">
        <f t="shared" ref="I26:I48" si="6">$E26*$F26*$H26</f>
        <v>1.56978373641509e-18</v>
      </c>
      <c r="J26" s="34">
        <f t="shared" ref="J26:J48" si="7">$C$4/6</f>
        <v>9.28333333333333e-21</v>
      </c>
      <c r="K26" s="34">
        <f t="shared" ref="K26:K48" si="8">2*$C$13*$C$13/(B26*B26+4*$C$13*B26)</f>
        <v>30.5755068937551</v>
      </c>
      <c r="L26" s="34">
        <f t="shared" ref="L26:L48" si="9">2*$C$13*$C$13/(B26*B26+4*$C$13*B26+4*$C$13*$C$13)</f>
        <v>0.491955078935487</v>
      </c>
      <c r="M26" s="34">
        <f t="shared" ref="M26:M49" si="10">(B26*B26+4*$C$13*B26)/(B26*B26+4*$C$13*B26+4*$C$13*$C$13)</f>
        <v>0.0160898421290267</v>
      </c>
      <c r="N26" s="5">
        <f t="shared" ref="N26:N48" si="11">LN(M26)</f>
        <v>-4.12956712977075</v>
      </c>
      <c r="O26" s="35">
        <f t="shared" ref="O26:O48" si="12">J26*(K26+L26+N26)</f>
        <v>2.50073457125105e-19</v>
      </c>
    </row>
    <row r="27" spans="1:15">
      <c r="A27" s="14">
        <v>0.001</v>
      </c>
      <c r="B27" s="36">
        <f t="shared" ref="B27:B48" si="13">A27/1000000000</f>
        <v>1e-12</v>
      </c>
      <c r="C27" s="36">
        <f t="shared" si="0"/>
        <v>-70443.5134970307</v>
      </c>
      <c r="D27" s="36">
        <f t="shared" si="1"/>
        <v>-2.83237975863861e-16</v>
      </c>
      <c r="E27" s="36">
        <f t="shared" si="2"/>
        <v>3.70057728701087e-18</v>
      </c>
      <c r="F27" s="36">
        <f t="shared" si="3"/>
        <v>0.999943168906299</v>
      </c>
      <c r="G27" s="36">
        <f t="shared" si="4"/>
        <v>-0.670079357225707</v>
      </c>
      <c r="H27" s="36">
        <f t="shared" si="5"/>
        <v>0.449006344980016</v>
      </c>
      <c r="I27" s="36">
        <f t="shared" si="6"/>
        <v>1.66148825239573e-18</v>
      </c>
      <c r="J27" s="36">
        <f t="shared" si="7"/>
        <v>9.28333333333333e-21</v>
      </c>
      <c r="K27" s="36">
        <f t="shared" si="8"/>
        <v>30699.875000509</v>
      </c>
      <c r="L27" s="36">
        <f t="shared" si="9"/>
        <v>0.499991856776994</v>
      </c>
      <c r="M27" s="36">
        <f t="shared" si="10"/>
        <v>1.62864460121973e-5</v>
      </c>
      <c r="N27" s="10">
        <f t="shared" si="11"/>
        <v>-11.0251773290609</v>
      </c>
      <c r="O27" s="37">
        <f t="shared" si="12"/>
        <v>2.84899464116257e-16</v>
      </c>
    </row>
    <row r="28" spans="1:15">
      <c r="A28" s="15">
        <v>0.01</v>
      </c>
      <c r="B28" s="34">
        <f t="shared" si="13"/>
        <v>1e-11</v>
      </c>
      <c r="C28" s="34">
        <f t="shared" si="0"/>
        <v>-6655.84526170599</v>
      </c>
      <c r="D28" s="34">
        <f t="shared" si="1"/>
        <v>-2.67616994951301e-17</v>
      </c>
      <c r="E28" s="34">
        <f t="shared" si="2"/>
        <v>3.70057728701087e-18</v>
      </c>
      <c r="F28" s="34">
        <f t="shared" si="3"/>
        <v>0.999431834380756</v>
      </c>
      <c r="G28" s="34">
        <f t="shared" si="4"/>
        <v>-0.670079357225707</v>
      </c>
      <c r="H28" s="34">
        <f t="shared" si="5"/>
        <v>0.449006344980016</v>
      </c>
      <c r="I28" s="34">
        <f t="shared" si="6"/>
        <v>1.6606386278034e-18</v>
      </c>
      <c r="J28" s="34">
        <f t="shared" si="7"/>
        <v>9.28333333333333e-21</v>
      </c>
      <c r="K28" s="34">
        <f t="shared" si="8"/>
        <v>3069.87500508937</v>
      </c>
      <c r="L28" s="34">
        <f t="shared" si="9"/>
        <v>0.49991857672122</v>
      </c>
      <c r="M28" s="34">
        <f t="shared" si="10"/>
        <v>0.000162846557560954</v>
      </c>
      <c r="N28" s="5">
        <f t="shared" si="11"/>
        <v>-8.72270216517621</v>
      </c>
      <c r="O28" s="35">
        <f t="shared" si="12"/>
        <v>2.84223381229335e-17</v>
      </c>
    </row>
    <row r="29" spans="1:15">
      <c r="A29" s="14">
        <v>0.1</v>
      </c>
      <c r="B29" s="36">
        <f t="shared" si="13"/>
        <v>1e-10</v>
      </c>
      <c r="C29" s="36">
        <f t="shared" si="0"/>
        <v>-283.945043288654</v>
      </c>
      <c r="D29" s="36">
        <f t="shared" si="1"/>
        <v>-1.14168097707172e-18</v>
      </c>
      <c r="E29" s="36">
        <f t="shared" si="2"/>
        <v>3.70057728701087e-18</v>
      </c>
      <c r="F29" s="36">
        <f t="shared" si="3"/>
        <v>0.994332848367824</v>
      </c>
      <c r="G29" s="36">
        <f t="shared" si="4"/>
        <v>-0.670079357225707</v>
      </c>
      <c r="H29" s="36">
        <f t="shared" si="5"/>
        <v>0.449006344980016</v>
      </c>
      <c r="I29" s="36">
        <f t="shared" si="6"/>
        <v>1.65216624094877e-18</v>
      </c>
      <c r="J29" s="36">
        <f t="shared" si="7"/>
        <v>9.28333333333333e-21</v>
      </c>
      <c r="K29" s="36">
        <f t="shared" si="8"/>
        <v>306.875050875051</v>
      </c>
      <c r="L29" s="36">
        <f t="shared" si="9"/>
        <v>0.499186661379028</v>
      </c>
      <c r="M29" s="36">
        <f t="shared" si="10"/>
        <v>0.00162667724194457</v>
      </c>
      <c r="N29" s="10">
        <f t="shared" si="11"/>
        <v>-6.42121584661089</v>
      </c>
      <c r="O29" s="37">
        <f t="shared" si="12"/>
        <v>2.79384721802049e-18</v>
      </c>
    </row>
    <row r="30" spans="1:15">
      <c r="A30" s="15">
        <v>1</v>
      </c>
      <c r="B30" s="34">
        <f t="shared" si="13"/>
        <v>1e-9</v>
      </c>
      <c r="C30" s="34">
        <f t="shared" si="0"/>
        <v>328.222331725807</v>
      </c>
      <c r="D30" s="34">
        <f t="shared" si="1"/>
        <v>1.31971027928999e-18</v>
      </c>
      <c r="E30" s="34">
        <f t="shared" si="2"/>
        <v>3.70057728701087e-18</v>
      </c>
      <c r="F30" s="34">
        <f t="shared" si="3"/>
        <v>0.944752105002916</v>
      </c>
      <c r="G30" s="34">
        <f t="shared" si="4"/>
        <v>-0.670079357225707</v>
      </c>
      <c r="H30" s="34">
        <f t="shared" si="5"/>
        <v>0.449006344980016</v>
      </c>
      <c r="I30" s="34">
        <f t="shared" si="6"/>
        <v>1.56978373641509e-18</v>
      </c>
      <c r="J30" s="34">
        <f t="shared" si="7"/>
        <v>9.28333333333333e-21</v>
      </c>
      <c r="K30" s="34">
        <f t="shared" si="8"/>
        <v>30.5755068937551</v>
      </c>
      <c r="L30" s="34">
        <f t="shared" si="9"/>
        <v>0.491955078935487</v>
      </c>
      <c r="M30" s="34">
        <f t="shared" si="10"/>
        <v>0.0160898421290267</v>
      </c>
      <c r="N30" s="5">
        <f t="shared" si="11"/>
        <v>-4.12956712977075</v>
      </c>
      <c r="O30" s="35">
        <f t="shared" si="12"/>
        <v>2.50073457125105e-19</v>
      </c>
    </row>
    <row r="31" spans="1:15">
      <c r="A31" s="14">
        <v>2</v>
      </c>
      <c r="B31" s="36">
        <f t="shared" si="13"/>
        <v>2e-9</v>
      </c>
      <c r="C31" s="36">
        <f t="shared" si="0"/>
        <v>340.537657161439</v>
      </c>
      <c r="D31" s="36">
        <f t="shared" si="1"/>
        <v>1.36922751196806e-18</v>
      </c>
      <c r="E31" s="36">
        <f t="shared" si="2"/>
        <v>3.70057728701087e-18</v>
      </c>
      <c r="F31" s="36">
        <f t="shared" si="3"/>
        <v>0.892556539907441</v>
      </c>
      <c r="G31" s="36">
        <f t="shared" si="4"/>
        <v>-0.670079357225707</v>
      </c>
      <c r="H31" s="36">
        <f t="shared" si="5"/>
        <v>0.449006344980016</v>
      </c>
      <c r="I31" s="36">
        <f t="shared" si="6"/>
        <v>1.4830564893775e-18</v>
      </c>
      <c r="J31" s="36">
        <f t="shared" si="7"/>
        <v>9.28333333333333e-21</v>
      </c>
      <c r="K31" s="36">
        <f t="shared" si="8"/>
        <v>15.2260096930533</v>
      </c>
      <c r="L31" s="36">
        <f t="shared" si="9"/>
        <v>0.4841027695595</v>
      </c>
      <c r="M31" s="36">
        <f t="shared" si="10"/>
        <v>0.0317944608809993</v>
      </c>
      <c r="N31" s="10">
        <f t="shared" si="11"/>
        <v>-3.44846319050027</v>
      </c>
      <c r="O31" s="37">
        <f t="shared" si="12"/>
        <v>1.13828977409445e-19</v>
      </c>
    </row>
    <row r="32" spans="1:15">
      <c r="A32" s="15">
        <v>3</v>
      </c>
      <c r="B32" s="34">
        <f t="shared" si="13"/>
        <v>3e-9</v>
      </c>
      <c r="C32" s="34">
        <f t="shared" si="0"/>
        <v>331.081087600641</v>
      </c>
      <c r="D32" s="34">
        <f t="shared" si="1"/>
        <v>1.33120471202454e-18</v>
      </c>
      <c r="E32" s="34">
        <f t="shared" si="2"/>
        <v>3.70057728701087e-18</v>
      </c>
      <c r="F32" s="34">
        <f t="shared" si="3"/>
        <v>0.843244669911674</v>
      </c>
      <c r="G32" s="34">
        <f t="shared" si="4"/>
        <v>-0.670079357225707</v>
      </c>
      <c r="H32" s="34">
        <f t="shared" si="5"/>
        <v>0.449006344980016</v>
      </c>
      <c r="I32" s="34">
        <f t="shared" si="6"/>
        <v>1.40112074017763e-18</v>
      </c>
      <c r="J32" s="34">
        <f t="shared" si="7"/>
        <v>9.28333333333333e-21</v>
      </c>
      <c r="K32" s="34">
        <f t="shared" si="8"/>
        <v>10.1098417806382</v>
      </c>
      <c r="L32" s="34">
        <f t="shared" si="9"/>
        <v>0.476436971901294</v>
      </c>
      <c r="M32" s="34">
        <f t="shared" si="10"/>
        <v>0.0471260561974113</v>
      </c>
      <c r="N32" s="5">
        <f t="shared" si="11"/>
        <v>-3.05492922078796</v>
      </c>
      <c r="O32" s="35">
        <f t="shared" si="12"/>
        <v>6.99160281530938e-20</v>
      </c>
    </row>
    <row r="33" spans="1:15">
      <c r="A33" s="14">
        <v>4</v>
      </c>
      <c r="B33" s="36">
        <f t="shared" si="13"/>
        <v>4e-9</v>
      </c>
      <c r="C33" s="36">
        <f t="shared" si="0"/>
        <v>317.114865566901</v>
      </c>
      <c r="D33" s="36">
        <f t="shared" si="1"/>
        <v>1.27504958484638e-18</v>
      </c>
      <c r="E33" s="36">
        <f t="shared" si="2"/>
        <v>3.70057728701087e-18</v>
      </c>
      <c r="F33" s="36">
        <f t="shared" si="3"/>
        <v>0.796657176931543</v>
      </c>
      <c r="G33" s="36">
        <f t="shared" si="4"/>
        <v>-0.670079357225707</v>
      </c>
      <c r="H33" s="36">
        <f t="shared" si="5"/>
        <v>0.449006344980016</v>
      </c>
      <c r="I33" s="36">
        <f t="shared" si="6"/>
        <v>1.32371176864606e-18</v>
      </c>
      <c r="J33" s="36">
        <f t="shared" si="7"/>
        <v>9.28333333333333e-21</v>
      </c>
      <c r="K33" s="36">
        <f t="shared" si="8"/>
        <v>7.5520032051282</v>
      </c>
      <c r="L33" s="36">
        <f t="shared" si="9"/>
        <v>0.468951825572948</v>
      </c>
      <c r="M33" s="36">
        <f t="shared" si="10"/>
        <v>0.0620963488541034</v>
      </c>
      <c r="N33" s="10">
        <f t="shared" si="11"/>
        <v>-2.77906808639109</v>
      </c>
      <c r="O33" s="37">
        <f t="shared" si="12"/>
        <v>4.86621837996784e-20</v>
      </c>
    </row>
    <row r="34" spans="1:15">
      <c r="A34" s="15">
        <v>5</v>
      </c>
      <c r="B34" s="34">
        <f t="shared" si="13"/>
        <v>5e-9</v>
      </c>
      <c r="C34" s="34">
        <f t="shared" si="0"/>
        <v>301.997941111179</v>
      </c>
      <c r="D34" s="34">
        <f t="shared" si="1"/>
        <v>1.21426773465792e-18</v>
      </c>
      <c r="E34" s="34">
        <f t="shared" si="2"/>
        <v>3.70057728701087e-18</v>
      </c>
      <c r="F34" s="34">
        <f t="shared" si="3"/>
        <v>0.752643544871756</v>
      </c>
      <c r="G34" s="34">
        <f t="shared" si="4"/>
        <v>-0.670079357225707</v>
      </c>
      <c r="H34" s="34">
        <f t="shared" si="5"/>
        <v>0.449006344980016</v>
      </c>
      <c r="I34" s="34">
        <f t="shared" si="6"/>
        <v>1.2505794798455e-18</v>
      </c>
      <c r="J34" s="34">
        <f t="shared" si="7"/>
        <v>9.28333333333333e-21</v>
      </c>
      <c r="K34" s="34">
        <f t="shared" si="8"/>
        <v>6.01749401436552</v>
      </c>
      <c r="L34" s="34">
        <f t="shared" si="9"/>
        <v>0.461641698565589</v>
      </c>
      <c r="M34" s="34">
        <f t="shared" si="10"/>
        <v>0.0767166028688213</v>
      </c>
      <c r="N34" s="5">
        <f t="shared" si="11"/>
        <v>-2.5676371289908</v>
      </c>
      <c r="O34" s="35">
        <f t="shared" si="12"/>
        <v>3.63117451875792e-20</v>
      </c>
    </row>
    <row r="35" spans="1:15">
      <c r="A35" s="14">
        <v>6</v>
      </c>
      <c r="B35" s="36">
        <f t="shared" si="13"/>
        <v>6e-9</v>
      </c>
      <c r="C35" s="36">
        <f t="shared" si="0"/>
        <v>286.798164531166</v>
      </c>
      <c r="D35" s="36">
        <f t="shared" si="1"/>
        <v>1.15315275418087e-18</v>
      </c>
      <c r="E35" s="36">
        <f t="shared" si="2"/>
        <v>3.70057728701087e-18</v>
      </c>
      <c r="F35" s="36">
        <f t="shared" si="3"/>
        <v>0.711061573334448</v>
      </c>
      <c r="G35" s="36">
        <f t="shared" si="4"/>
        <v>-0.670079357225707</v>
      </c>
      <c r="H35" s="36">
        <f t="shared" si="5"/>
        <v>0.449006344980016</v>
      </c>
      <c r="I35" s="36">
        <f t="shared" si="6"/>
        <v>1.18148759605749e-18</v>
      </c>
      <c r="J35" s="36">
        <f t="shared" si="7"/>
        <v>9.28333333333333e-21</v>
      </c>
      <c r="K35" s="36">
        <f t="shared" si="8"/>
        <v>4.99464758876524</v>
      </c>
      <c r="L35" s="36">
        <f t="shared" si="9"/>
        <v>0.454501176652135</v>
      </c>
      <c r="M35" s="36">
        <f t="shared" si="10"/>
        <v>0.0909976466957293</v>
      </c>
      <c r="N35" s="10">
        <f t="shared" si="11"/>
        <v>-2.39692163328617</v>
      </c>
      <c r="O35" s="37">
        <f t="shared" si="12"/>
        <v>2.8334841876618e-20</v>
      </c>
    </row>
    <row r="36" spans="1:15">
      <c r="A36" s="15">
        <v>7</v>
      </c>
      <c r="B36" s="34">
        <f t="shared" si="13"/>
        <v>7e-9</v>
      </c>
      <c r="C36" s="34">
        <f t="shared" si="0"/>
        <v>271.937120109058</v>
      </c>
      <c r="D36" s="34">
        <f t="shared" si="1"/>
        <v>1.09339974169778e-18</v>
      </c>
      <c r="E36" s="34">
        <f t="shared" si="2"/>
        <v>3.70057728701087e-18</v>
      </c>
      <c r="F36" s="34">
        <f t="shared" si="3"/>
        <v>0.671776918194405</v>
      </c>
      <c r="G36" s="34">
        <f t="shared" si="4"/>
        <v>-0.670079357225707</v>
      </c>
      <c r="H36" s="34">
        <f t="shared" si="5"/>
        <v>0.449006344980016</v>
      </c>
      <c r="I36" s="34">
        <f t="shared" si="6"/>
        <v>1.11621289341014e-18</v>
      </c>
      <c r="J36" s="34">
        <f t="shared" si="7"/>
        <v>9.28333333333333e-21</v>
      </c>
      <c r="K36" s="34">
        <f t="shared" si="8"/>
        <v>4.26417826037779</v>
      </c>
      <c r="L36" s="34">
        <f t="shared" si="9"/>
        <v>0.447525053359322</v>
      </c>
      <c r="M36" s="34">
        <f t="shared" si="10"/>
        <v>0.104949893281355</v>
      </c>
      <c r="N36" s="5">
        <f t="shared" si="11"/>
        <v>-2.25427224956828</v>
      </c>
      <c r="O36" s="35">
        <f t="shared" si="12"/>
        <v>2.28131517123673e-20</v>
      </c>
    </row>
    <row r="37" spans="1:15">
      <c r="A37" s="14">
        <v>8</v>
      </c>
      <c r="B37" s="36">
        <f t="shared" si="13"/>
        <v>8e-9</v>
      </c>
      <c r="C37" s="36">
        <f t="shared" si="0"/>
        <v>257.598085183532</v>
      </c>
      <c r="D37" s="36">
        <f t="shared" si="1"/>
        <v>1.03574561534137e-18</v>
      </c>
      <c r="E37" s="36">
        <f t="shared" si="2"/>
        <v>3.70057728701087e-18</v>
      </c>
      <c r="F37" s="36">
        <f t="shared" si="3"/>
        <v>0.634662657556536</v>
      </c>
      <c r="G37" s="36">
        <f t="shared" si="4"/>
        <v>-0.670079357225707</v>
      </c>
      <c r="H37" s="36">
        <f t="shared" si="5"/>
        <v>0.449006344980016</v>
      </c>
      <c r="I37" s="36">
        <f t="shared" si="6"/>
        <v>1.05454448068063e-18</v>
      </c>
      <c r="J37" s="36">
        <f t="shared" si="7"/>
        <v>9.28333333333333e-21</v>
      </c>
      <c r="K37" s="36">
        <f t="shared" si="8"/>
        <v>3.71644321766562</v>
      </c>
      <c r="L37" s="36">
        <f t="shared" si="9"/>
        <v>0.440708320474333</v>
      </c>
      <c r="M37" s="36">
        <f t="shared" si="10"/>
        <v>0.118583359051333</v>
      </c>
      <c r="N37" s="10">
        <f t="shared" si="11"/>
        <v>-2.13213911380329</v>
      </c>
      <c r="O37" s="37">
        <f t="shared" si="12"/>
        <v>1.87988653392586e-20</v>
      </c>
    </row>
    <row r="38" spans="1:15">
      <c r="A38" s="15">
        <v>9</v>
      </c>
      <c r="B38" s="34">
        <f t="shared" si="13"/>
        <v>9e-9</v>
      </c>
      <c r="C38" s="34">
        <f t="shared" si="0"/>
        <v>243.860913496629</v>
      </c>
      <c r="D38" s="34">
        <f t="shared" si="1"/>
        <v>9.80511449560348e-19</v>
      </c>
      <c r="E38" s="34">
        <f t="shared" si="2"/>
        <v>3.70057728701087e-18</v>
      </c>
      <c r="F38" s="34">
        <f t="shared" si="3"/>
        <v>0.599598881693282</v>
      </c>
      <c r="G38" s="34">
        <f t="shared" si="4"/>
        <v>-0.670079357225707</v>
      </c>
      <c r="H38" s="34">
        <f t="shared" si="5"/>
        <v>0.449006344980016</v>
      </c>
      <c r="I38" s="34">
        <f t="shared" si="6"/>
        <v>9.96283117942232e-19</v>
      </c>
      <c r="J38" s="34">
        <f t="shared" si="7"/>
        <v>9.28333333333333e-21</v>
      </c>
      <c r="K38" s="34">
        <f t="shared" si="8"/>
        <v>3.29052980710483</v>
      </c>
      <c r="L38" s="34">
        <f t="shared" si="9"/>
        <v>0.4340461590537</v>
      </c>
      <c r="M38" s="34">
        <f t="shared" si="10"/>
        <v>0.131907681892599</v>
      </c>
      <c r="N38" s="5">
        <f t="shared" si="11"/>
        <v>-2.02565298067729</v>
      </c>
      <c r="O38" s="35">
        <f t="shared" si="12"/>
        <v>1.57716683818842e-20</v>
      </c>
    </row>
    <row r="39" spans="1:15">
      <c r="A39" s="14">
        <v>10</v>
      </c>
      <c r="B39" s="36">
        <f t="shared" si="13"/>
        <v>1e-8</v>
      </c>
      <c r="C39" s="36">
        <f t="shared" si="0"/>
        <v>230.755508304465</v>
      </c>
      <c r="D39" s="36">
        <f t="shared" si="1"/>
        <v>9.27817478813688e-19</v>
      </c>
      <c r="E39" s="36">
        <f t="shared" si="2"/>
        <v>3.70057728701087e-18</v>
      </c>
      <c r="F39" s="36">
        <f t="shared" si="3"/>
        <v>0.566472305637123</v>
      </c>
      <c r="G39" s="36">
        <f t="shared" si="4"/>
        <v>-0.670079357225707</v>
      </c>
      <c r="H39" s="36">
        <f t="shared" si="5"/>
        <v>0.449006344980016</v>
      </c>
      <c r="I39" s="36">
        <f t="shared" si="6"/>
        <v>9.41240572854792e-19</v>
      </c>
      <c r="J39" s="36">
        <f t="shared" si="7"/>
        <v>9.28333333333333e-21</v>
      </c>
      <c r="K39" s="36">
        <f t="shared" si="8"/>
        <v>2.94989045383412</v>
      </c>
      <c r="L39" s="36">
        <f t="shared" si="9"/>
        <v>0.42753393090434</v>
      </c>
      <c r="M39" s="36">
        <f t="shared" si="10"/>
        <v>0.144932138191319</v>
      </c>
      <c r="N39" s="10">
        <f t="shared" si="11"/>
        <v>-1.93148965858724</v>
      </c>
      <c r="O39" s="37">
        <f t="shared" si="12"/>
        <v>1.34230940411038e-20</v>
      </c>
    </row>
    <row r="40" spans="1:15">
      <c r="A40" s="15">
        <v>20</v>
      </c>
      <c r="B40" s="34">
        <f t="shared" si="13"/>
        <v>2e-8</v>
      </c>
      <c r="C40" s="34">
        <f t="shared" si="0"/>
        <v>131.582612841438</v>
      </c>
      <c r="D40" s="34">
        <f t="shared" si="1"/>
        <v>5.29064935434517e-19</v>
      </c>
      <c r="E40" s="34">
        <f t="shared" si="2"/>
        <v>3.70057728701087e-18</v>
      </c>
      <c r="F40" s="34">
        <f t="shared" si="3"/>
        <v>0.320890873053838</v>
      </c>
      <c r="G40" s="34">
        <f t="shared" si="4"/>
        <v>-0.670079357225707</v>
      </c>
      <c r="H40" s="34">
        <f t="shared" si="5"/>
        <v>0.449006344980016</v>
      </c>
      <c r="I40" s="34">
        <f t="shared" si="6"/>
        <v>5.3318671746426e-19</v>
      </c>
      <c r="J40" s="34">
        <f t="shared" si="7"/>
        <v>9.28333333333333e-21</v>
      </c>
      <c r="K40" s="34">
        <f t="shared" si="8"/>
        <v>1.41941265060241</v>
      </c>
      <c r="L40" s="34">
        <f t="shared" si="9"/>
        <v>0.369751822297546</v>
      </c>
      <c r="M40" s="34">
        <f t="shared" si="10"/>
        <v>0.260496355404907</v>
      </c>
      <c r="N40" s="5">
        <f t="shared" si="11"/>
        <v>-1.3451664086547</v>
      </c>
      <c r="O40" s="35">
        <f t="shared" si="12"/>
        <v>4.12178202974348e-21</v>
      </c>
    </row>
    <row r="41" spans="1:15">
      <c r="A41" s="14">
        <v>30</v>
      </c>
      <c r="B41" s="36">
        <f t="shared" si="13"/>
        <v>3e-8</v>
      </c>
      <c r="C41" s="36">
        <f t="shared" si="0"/>
        <v>74.6643052115967</v>
      </c>
      <c r="D41" s="36">
        <f t="shared" si="1"/>
        <v>3.00208857105142e-19</v>
      </c>
      <c r="E41" s="36">
        <f t="shared" si="2"/>
        <v>3.70057728701087e-18</v>
      </c>
      <c r="F41" s="36">
        <f t="shared" si="3"/>
        <v>0.181775792716717</v>
      </c>
      <c r="G41" s="36">
        <f t="shared" si="4"/>
        <v>-0.670079357225707</v>
      </c>
      <c r="H41" s="36">
        <f t="shared" si="5"/>
        <v>0.449006344980016</v>
      </c>
      <c r="I41" s="36">
        <f t="shared" si="6"/>
        <v>3.02035509177069e-19</v>
      </c>
      <c r="J41" s="36">
        <f t="shared" si="7"/>
        <v>9.28333333333333e-21</v>
      </c>
      <c r="K41" s="36">
        <f t="shared" si="8"/>
        <v>0.911940009675859</v>
      </c>
      <c r="L41" s="36">
        <f t="shared" si="9"/>
        <v>0.322938652997451</v>
      </c>
      <c r="M41" s="36">
        <f t="shared" si="10"/>
        <v>0.354122694005099</v>
      </c>
      <c r="N41" s="10">
        <f t="shared" si="11"/>
        <v>-1.03811183266318</v>
      </c>
      <c r="O41" s="37">
        <f t="shared" si="12"/>
        <v>1.82665207192736e-21</v>
      </c>
    </row>
    <row r="42" spans="1:15">
      <c r="A42" s="15">
        <v>40</v>
      </c>
      <c r="B42" s="34">
        <f t="shared" si="13"/>
        <v>4e-8</v>
      </c>
      <c r="C42" s="34">
        <f t="shared" si="0"/>
        <v>42.3149904201378</v>
      </c>
      <c r="D42" s="34">
        <f t="shared" si="1"/>
        <v>1.70139330653967e-19</v>
      </c>
      <c r="E42" s="34">
        <f t="shared" si="2"/>
        <v>3.70057728701087e-18</v>
      </c>
      <c r="F42" s="34">
        <f t="shared" si="3"/>
        <v>0.102970952409254</v>
      </c>
      <c r="G42" s="34">
        <f t="shared" si="4"/>
        <v>-0.670079357225707</v>
      </c>
      <c r="H42" s="34">
        <f t="shared" si="5"/>
        <v>0.449006344980016</v>
      </c>
      <c r="I42" s="34">
        <f t="shared" si="6"/>
        <v>1.71094751267817e-19</v>
      </c>
      <c r="J42" s="34">
        <f t="shared" si="7"/>
        <v>9.28333333333333e-21</v>
      </c>
      <c r="K42" s="34">
        <f t="shared" si="8"/>
        <v>0.66000700280112</v>
      </c>
      <c r="L42" s="34">
        <f t="shared" si="9"/>
        <v>0.284484059668335</v>
      </c>
      <c r="M42" s="34">
        <f t="shared" si="10"/>
        <v>0.43103188066333</v>
      </c>
      <c r="N42" s="5">
        <f t="shared" si="11"/>
        <v>-0.841573222557514</v>
      </c>
      <c r="O42" s="35">
        <f t="shared" si="12"/>
        <v>9.55420613849186e-22</v>
      </c>
    </row>
    <row r="43" spans="1:15">
      <c r="A43" s="14">
        <v>50</v>
      </c>
      <c r="B43" s="36">
        <f t="shared" si="13"/>
        <v>5e-8</v>
      </c>
      <c r="C43" s="36">
        <f t="shared" si="0"/>
        <v>23.967697660463</v>
      </c>
      <c r="D43" s="36">
        <f t="shared" si="1"/>
        <v>9.63688753507827e-20</v>
      </c>
      <c r="E43" s="36">
        <f t="shared" si="2"/>
        <v>3.70057728701087e-18</v>
      </c>
      <c r="F43" s="36">
        <f t="shared" si="3"/>
        <v>0.0583301928249208</v>
      </c>
      <c r="G43" s="36">
        <f t="shared" si="4"/>
        <v>-0.670079357225707</v>
      </c>
      <c r="H43" s="36">
        <f t="shared" si="5"/>
        <v>0.449006344980016</v>
      </c>
      <c r="I43" s="36">
        <f t="shared" si="6"/>
        <v>9.69204382330901e-20</v>
      </c>
      <c r="J43" s="36">
        <f t="shared" si="7"/>
        <v>9.28333333333333e-21</v>
      </c>
      <c r="K43" s="36">
        <f t="shared" si="8"/>
        <v>0.510143437077131</v>
      </c>
      <c r="L43" s="36">
        <f t="shared" si="9"/>
        <v>0.252510395233196</v>
      </c>
      <c r="M43" s="36">
        <f t="shared" si="10"/>
        <v>0.494979209533608</v>
      </c>
      <c r="N43" s="10">
        <f t="shared" si="11"/>
        <v>-0.703239518237718</v>
      </c>
      <c r="O43" s="37">
        <f t="shared" si="12"/>
        <v>5.51562882307393e-22</v>
      </c>
    </row>
    <row r="44" spans="1:15">
      <c r="A44" s="15">
        <v>60</v>
      </c>
      <c r="B44" s="34">
        <f t="shared" si="13"/>
        <v>6e-8</v>
      </c>
      <c r="C44" s="34">
        <f t="shared" si="0"/>
        <v>13.5700472068838</v>
      </c>
      <c r="D44" s="34">
        <f t="shared" si="1"/>
        <v>5.45621947635652e-20</v>
      </c>
      <c r="E44" s="34">
        <f t="shared" si="2"/>
        <v>3.70057728701087e-18</v>
      </c>
      <c r="F44" s="34">
        <f t="shared" si="3"/>
        <v>0.0330424388177908</v>
      </c>
      <c r="G44" s="34">
        <f t="shared" si="4"/>
        <v>-0.670079357225707</v>
      </c>
      <c r="H44" s="34">
        <f t="shared" si="5"/>
        <v>0.449006344980016</v>
      </c>
      <c r="I44" s="34">
        <f t="shared" si="6"/>
        <v>5.49027441092589e-20</v>
      </c>
      <c r="J44" s="34">
        <f t="shared" si="7"/>
        <v>9.28333333333333e-21</v>
      </c>
      <c r="K44" s="34">
        <f t="shared" si="8"/>
        <v>0.411208551483421</v>
      </c>
      <c r="L44" s="34">
        <f t="shared" si="9"/>
        <v>0.225639098104372</v>
      </c>
      <c r="M44" s="34">
        <f t="shared" si="10"/>
        <v>0.548721803791256</v>
      </c>
      <c r="N44" s="5">
        <f t="shared" si="11"/>
        <v>-0.600163698525633</v>
      </c>
      <c r="O44" s="35">
        <f t="shared" si="12"/>
        <v>3.40549345693716e-22</v>
      </c>
    </row>
    <row r="45" spans="1:15">
      <c r="A45" s="14">
        <v>70</v>
      </c>
      <c r="B45" s="36">
        <f t="shared" si="13"/>
        <v>7e-8</v>
      </c>
      <c r="C45" s="36">
        <f t="shared" si="0"/>
        <v>7.6800841843725</v>
      </c>
      <c r="D45" s="36">
        <f t="shared" si="1"/>
        <v>3.08799404069675e-20</v>
      </c>
      <c r="E45" s="36">
        <f t="shared" si="2"/>
        <v>3.70057728701087e-18</v>
      </c>
      <c r="F45" s="36">
        <f t="shared" si="3"/>
        <v>0.0187176265009875</v>
      </c>
      <c r="G45" s="36">
        <f t="shared" si="4"/>
        <v>-0.670079357225707</v>
      </c>
      <c r="H45" s="36">
        <f t="shared" si="5"/>
        <v>0.449006344980016</v>
      </c>
      <c r="I45" s="36">
        <f t="shared" si="6"/>
        <v>3.11008840413769e-20</v>
      </c>
      <c r="J45" s="36">
        <f t="shared" si="7"/>
        <v>9.28333333333333e-21</v>
      </c>
      <c r="K45" s="36">
        <f t="shared" si="8"/>
        <v>0.34129639688575</v>
      </c>
      <c r="L45" s="36">
        <f t="shared" si="9"/>
        <v>0.202839568877946</v>
      </c>
      <c r="M45" s="36">
        <f t="shared" si="10"/>
        <v>0.594320862244107</v>
      </c>
      <c r="N45" s="10">
        <f t="shared" si="11"/>
        <v>-0.520335933331812</v>
      </c>
      <c r="O45" s="37">
        <f t="shared" si="12"/>
        <v>2.20943634409327e-22</v>
      </c>
    </row>
    <row r="46" spans="1:15">
      <c r="A46" s="15">
        <v>80</v>
      </c>
      <c r="B46" s="34">
        <f t="shared" si="13"/>
        <v>8e-8</v>
      </c>
      <c r="C46" s="34">
        <f t="shared" si="0"/>
        <v>4.3446326957831</v>
      </c>
      <c r="D46" s="34">
        <f t="shared" si="1"/>
        <v>1.74688187674998e-20</v>
      </c>
      <c r="E46" s="34">
        <f t="shared" si="2"/>
        <v>3.70057728701087e-18</v>
      </c>
      <c r="F46" s="34">
        <f t="shared" si="3"/>
        <v>0.0106030170400689</v>
      </c>
      <c r="G46" s="34">
        <f t="shared" si="4"/>
        <v>-0.670079357225707</v>
      </c>
      <c r="H46" s="34">
        <f t="shared" si="5"/>
        <v>0.449006344980016</v>
      </c>
      <c r="I46" s="34">
        <f t="shared" si="6"/>
        <v>1.76177894902716e-20</v>
      </c>
      <c r="J46" s="34">
        <f t="shared" si="7"/>
        <v>9.28333333333333e-21</v>
      </c>
      <c r="K46" s="34">
        <f t="shared" si="8"/>
        <v>0.289462530712531</v>
      </c>
      <c r="L46" s="34">
        <f t="shared" si="9"/>
        <v>0.183328859478154</v>
      </c>
      <c r="M46" s="34">
        <f t="shared" si="10"/>
        <v>0.633342281043692</v>
      </c>
      <c r="N46" s="5">
        <f t="shared" si="11"/>
        <v>-0.456744274631789</v>
      </c>
      <c r="O46" s="35">
        <f t="shared" si="12"/>
        <v>1.48970722771744e-22</v>
      </c>
    </row>
    <row r="47" spans="1:15">
      <c r="A47" s="14">
        <v>90</v>
      </c>
      <c r="B47" s="36">
        <f t="shared" si="13"/>
        <v>9e-8</v>
      </c>
      <c r="C47" s="36">
        <f t="shared" si="0"/>
        <v>2.45633343869563</v>
      </c>
      <c r="D47" s="36">
        <f t="shared" si="1"/>
        <v>9.87638004813875e-21</v>
      </c>
      <c r="E47" s="36">
        <f t="shared" si="2"/>
        <v>3.70057728701087e-18</v>
      </c>
      <c r="F47" s="36">
        <f t="shared" si="3"/>
        <v>0.00600631550939755</v>
      </c>
      <c r="G47" s="36">
        <f t="shared" si="4"/>
        <v>-0.670079357225707</v>
      </c>
      <c r="H47" s="36">
        <f t="shared" si="5"/>
        <v>0.449006344980016</v>
      </c>
      <c r="I47" s="36">
        <f t="shared" si="6"/>
        <v>9.9799898327836e-21</v>
      </c>
      <c r="J47" s="36">
        <f t="shared" si="7"/>
        <v>9.28333333333333e-21</v>
      </c>
      <c r="K47" s="36">
        <f t="shared" si="8"/>
        <v>0.249633161170706</v>
      </c>
      <c r="L47" s="36">
        <f t="shared" si="9"/>
        <v>0.16650354740234</v>
      </c>
      <c r="M47" s="36">
        <f t="shared" si="10"/>
        <v>0.666992905195319</v>
      </c>
      <c r="N47" s="10">
        <f t="shared" si="11"/>
        <v>-0.404975870011663</v>
      </c>
      <c r="O47" s="37">
        <f t="shared" si="12"/>
        <v>1.03609784644845e-22</v>
      </c>
    </row>
    <row r="48" spans="1:15">
      <c r="A48" s="15">
        <v>100</v>
      </c>
      <c r="B48" s="34">
        <f t="shared" si="13"/>
        <v>1e-7</v>
      </c>
      <c r="C48" s="34">
        <f t="shared" si="0"/>
        <v>1.38765284354747</v>
      </c>
      <c r="D48" s="34">
        <f t="shared" si="1"/>
        <v>5.57944888175806e-21</v>
      </c>
      <c r="E48" s="34">
        <f t="shared" si="2"/>
        <v>3.70057728701087e-18</v>
      </c>
      <c r="F48" s="34">
        <f t="shared" si="3"/>
        <v>0.00340241139499244</v>
      </c>
      <c r="G48" s="34">
        <f t="shared" si="4"/>
        <v>-0.670079357225707</v>
      </c>
      <c r="H48" s="34">
        <f t="shared" si="5"/>
        <v>0.449006344980016</v>
      </c>
      <c r="I48" s="34">
        <f t="shared" si="6"/>
        <v>5.65338785081197e-21</v>
      </c>
      <c r="J48" s="34">
        <f t="shared" si="7"/>
        <v>9.28333333333333e-21</v>
      </c>
      <c r="K48" s="34">
        <f t="shared" si="8"/>
        <v>0.218168981481481</v>
      </c>
      <c r="L48" s="34">
        <f t="shared" si="9"/>
        <v>0.151892512143472</v>
      </c>
      <c r="M48" s="34">
        <f t="shared" si="10"/>
        <v>0.696214975713056</v>
      </c>
      <c r="N48" s="5">
        <f t="shared" si="11"/>
        <v>-0.362096793188266</v>
      </c>
      <c r="O48" s="35">
        <f t="shared" si="12"/>
        <v>7.39389690539131e-23</v>
      </c>
    </row>
    <row r="49" spans="1:15">
      <c r="A49" s="38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9">
        <f t="shared" si="10"/>
        <v>0</v>
      </c>
      <c r="N49" s="40"/>
      <c r="O49" s="41"/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49"/>
  <sheetViews>
    <sheetView zoomScale="85" zoomScaleNormal="85" topLeftCell="A22" workbookViewId="0">
      <selection activeCell="A25" sqref="A25:O49"/>
    </sheetView>
  </sheetViews>
  <sheetFormatPr defaultColWidth="9.10576923076923" defaultRowHeight="16.8"/>
  <cols>
    <col min="2" max="2" width="36" customWidth="1"/>
    <col min="3" max="3" width="12" customWidth="1"/>
    <col min="4" max="4" width="9.44230769230769" customWidth="1"/>
    <col min="5" max="5" width="22.7788461538462" customWidth="1"/>
    <col min="6" max="6" width="12.5576923076923" customWidth="1"/>
    <col min="7" max="7" width="12" customWidth="1"/>
    <col min="8" max="8" width="26.1057692307692" customWidth="1"/>
    <col min="9" max="9" width="31.7788461538462" customWidth="1"/>
    <col min="10" max="10" width="9.23076923076923"/>
    <col min="11" max="11" width="13.1057692307692" customWidth="1"/>
    <col min="12" max="12" width="16" customWidth="1"/>
    <col min="13" max="13" width="10"/>
    <col min="14" max="14" width="14.0769230769231"/>
    <col min="15" max="15" width="9.23076923076923"/>
  </cols>
  <sheetData>
    <row r="3" spans="1:7">
      <c r="A3" s="1" t="s">
        <v>0</v>
      </c>
      <c r="B3" s="2" t="s">
        <v>1</v>
      </c>
      <c r="C3" s="2" t="s">
        <v>2</v>
      </c>
      <c r="D3" s="2" t="s">
        <v>3</v>
      </c>
      <c r="E3" s="3" t="s">
        <v>70</v>
      </c>
    </row>
    <row r="4" spans="1:7">
      <c r="A4" s="4" t="s">
        <v>5</v>
      </c>
      <c r="B4" s="5" t="s">
        <v>6</v>
      </c>
      <c r="C4" s="6">
        <v>5.57e-20</v>
      </c>
      <c r="D4" s="5" t="s">
        <v>7</v>
      </c>
      <c r="E4" s="7"/>
      <c r="G4" s="8"/>
    </row>
    <row r="5" spans="1:7">
      <c r="A5" s="9" t="s">
        <v>9</v>
      </c>
      <c r="B5" s="10" t="s">
        <v>10</v>
      </c>
      <c r="C5" s="11">
        <f>0.1/100</f>
        <v>0.001</v>
      </c>
      <c r="D5" s="10"/>
      <c r="E5" s="12"/>
      <c r="G5" s="8"/>
    </row>
    <row r="6" spans="1:7">
      <c r="A6" s="4" t="s">
        <v>12</v>
      </c>
      <c r="B6" s="5" t="s">
        <v>13</v>
      </c>
      <c r="C6" s="13">
        <f>0.3/100</f>
        <v>0.003</v>
      </c>
      <c r="D6" s="5"/>
      <c r="E6" s="7"/>
      <c r="G6" s="8"/>
    </row>
    <row r="7" ht="20" spans="1:7">
      <c r="A7" s="14" t="s">
        <v>15</v>
      </c>
      <c r="B7" s="10" t="s">
        <v>16</v>
      </c>
      <c r="C7" s="11">
        <v>1.381e-23</v>
      </c>
      <c r="D7" s="10" t="s">
        <v>71</v>
      </c>
      <c r="E7" s="12"/>
    </row>
    <row r="8" ht="20" spans="1:7">
      <c r="A8" s="15" t="s">
        <v>19</v>
      </c>
      <c r="B8" s="5"/>
      <c r="C8" s="13">
        <f>C7*C14</f>
        <v>4.0207815e-21</v>
      </c>
      <c r="D8" s="5"/>
      <c r="E8" s="7"/>
    </row>
    <row r="9" spans="1:7">
      <c r="A9" s="9" t="s">
        <v>20</v>
      </c>
      <c r="B9" s="10" t="s">
        <v>21</v>
      </c>
      <c r="C9" s="11">
        <f>C11*C12*1000</f>
        <v>2.408e+24</v>
      </c>
      <c r="D9" s="10" t="s">
        <v>22</v>
      </c>
      <c r="E9" s="12"/>
    </row>
    <row r="10" spans="1:7">
      <c r="A10" s="4"/>
      <c r="B10" s="5" t="s">
        <v>24</v>
      </c>
      <c r="C10" s="5"/>
      <c r="D10" s="5"/>
      <c r="E10" s="7"/>
    </row>
    <row r="11" spans="1:7">
      <c r="A11" s="9"/>
      <c r="B11" s="10" t="s">
        <v>26</v>
      </c>
      <c r="C11" s="11">
        <v>6.02e+23</v>
      </c>
      <c r="D11" s="10"/>
      <c r="E11" s="12"/>
    </row>
    <row r="12" spans="1:7">
      <c r="A12" s="4"/>
      <c r="B12" s="5" t="s">
        <v>28</v>
      </c>
      <c r="C12" s="13">
        <f>4*C5</f>
        <v>0.004</v>
      </c>
      <c r="D12" s="5"/>
      <c r="E12" s="7"/>
    </row>
    <row r="13" spans="1:7">
      <c r="A13" s="9" t="s">
        <v>30</v>
      </c>
      <c r="B13" s="10" t="s">
        <v>31</v>
      </c>
      <c r="C13" s="11">
        <f>61.8/1000000000</f>
        <v>6.18e-8</v>
      </c>
      <c r="D13" s="10" t="s">
        <v>32</v>
      </c>
      <c r="E13" s="12"/>
    </row>
    <row r="14" spans="1:7">
      <c r="A14" s="4" t="s">
        <v>34</v>
      </c>
      <c r="B14" s="5" t="s">
        <v>35</v>
      </c>
      <c r="C14" s="16">
        <v>291.15</v>
      </c>
      <c r="D14" s="5" t="s">
        <v>36</v>
      </c>
      <c r="E14" s="7"/>
    </row>
    <row r="15" spans="1:7">
      <c r="A15" s="9" t="s">
        <v>38</v>
      </c>
      <c r="B15" s="10"/>
      <c r="C15" s="17">
        <v>3</v>
      </c>
      <c r="D15" s="10"/>
      <c r="E15" s="12"/>
    </row>
    <row r="16" ht="18.75" customHeight="1" spans="1:7">
      <c r="A16" s="4" t="s">
        <v>39</v>
      </c>
      <c r="B16" s="18" t="s">
        <v>40</v>
      </c>
      <c r="C16" s="19">
        <f>C17*C18</f>
        <v>7.0832e-10</v>
      </c>
      <c r="D16" s="18" t="s">
        <v>41</v>
      </c>
      <c r="E16" s="20"/>
      <c r="F16" s="21"/>
      <c r="G16" s="21"/>
    </row>
    <row r="17" ht="21.75" customHeight="1" spans="1:15">
      <c r="A17" s="9"/>
      <c r="B17" s="22" t="s">
        <v>43</v>
      </c>
      <c r="C17" s="23">
        <v>8.854e-12</v>
      </c>
      <c r="D17" s="22"/>
      <c r="E17" s="24"/>
      <c r="F17" s="21"/>
      <c r="G17" s="21"/>
    </row>
    <row r="18" ht="23.25" customHeight="1" spans="1:15">
      <c r="A18" s="4"/>
      <c r="B18" s="18" t="s">
        <v>45</v>
      </c>
      <c r="C18" s="25">
        <v>80</v>
      </c>
      <c r="D18" s="18"/>
      <c r="E18" s="20"/>
      <c r="F18" s="21"/>
      <c r="G18" s="21"/>
    </row>
    <row r="19" ht="17" spans="1:15">
      <c r="A19" s="9" t="s">
        <v>46</v>
      </c>
      <c r="B19" s="10" t="s">
        <v>47</v>
      </c>
      <c r="C19" s="11">
        <f>1/((4.31*POWER(2*C6,-0.5)/10000000000))</f>
        <v>179720804.928418</v>
      </c>
      <c r="D19" s="10" t="s">
        <v>48</v>
      </c>
      <c r="E19" s="12"/>
    </row>
    <row r="20" spans="1:15">
      <c r="A20" s="4" t="s">
        <v>50</v>
      </c>
      <c r="B20" s="5"/>
      <c r="C20" s="16">
        <v>3.1416</v>
      </c>
      <c r="D20" s="5"/>
      <c r="E20" s="7"/>
    </row>
    <row r="21" ht="18.75" customHeight="1" spans="1:15">
      <c r="A21" s="9" t="s">
        <v>51</v>
      </c>
      <c r="B21" s="26" t="s">
        <v>52</v>
      </c>
      <c r="C21" s="23">
        <f>-30.27/1000</f>
        <v>-0.03027</v>
      </c>
      <c r="D21" s="26" t="s">
        <v>53</v>
      </c>
      <c r="E21" s="27"/>
      <c r="F21" s="28"/>
      <c r="G21" s="28"/>
    </row>
    <row r="22" ht="17.25" customHeight="1" spans="1:15">
      <c r="A22" s="29" t="s">
        <v>55</v>
      </c>
      <c r="B22" s="30"/>
      <c r="C22" s="31">
        <v>1.6e-19</v>
      </c>
      <c r="D22" s="30"/>
      <c r="E22" s="32"/>
      <c r="F22" s="28"/>
      <c r="G22" s="28"/>
    </row>
    <row r="23" ht="17.25" customHeight="1" spans="1:15">
      <c r="A23" s="28"/>
      <c r="B23" s="28"/>
      <c r="C23" s="28"/>
      <c r="D23" s="28"/>
      <c r="E23" s="28"/>
      <c r="F23" s="28"/>
      <c r="G23" s="28"/>
    </row>
    <row r="24" ht="17.25" customHeight="1" spans="1:15">
      <c r="A24" s="28"/>
      <c r="B24" s="28"/>
      <c r="C24" s="28"/>
      <c r="D24" s="28"/>
      <c r="E24" s="28"/>
      <c r="F24" s="28"/>
      <c r="G24" s="28"/>
    </row>
    <row r="25" ht="20" spans="1:15">
      <c r="A25" s="33"/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62</v>
      </c>
      <c r="I25" s="2" t="s">
        <v>63</v>
      </c>
      <c r="J25" s="2" t="s">
        <v>64</v>
      </c>
      <c r="K25" s="2" t="s">
        <v>65</v>
      </c>
      <c r="L25" s="2" t="s">
        <v>66</v>
      </c>
      <c r="M25" s="2" t="s">
        <v>67</v>
      </c>
      <c r="N25" s="2" t="s">
        <v>68</v>
      </c>
      <c r="O25" s="3"/>
    </row>
    <row r="26" spans="1:15">
      <c r="A26" s="15">
        <v>0.0001</v>
      </c>
      <c r="B26" s="34">
        <v>1e-9</v>
      </c>
      <c r="C26" s="34">
        <f t="shared" ref="C26:C48" si="0">D26/$C$8</f>
        <v>336.307974112346</v>
      </c>
      <c r="D26" s="34">
        <f t="shared" ref="D26:D48" si="1">I26-O26</f>
        <v>1.3522208806134e-18</v>
      </c>
      <c r="E26" s="34">
        <f t="shared" ref="E26:E48" si="2">64*$C$20*$C$9*$C$13*$C$7*$C$14/$C$19/$C$19</f>
        <v>3.72468528236599e-18</v>
      </c>
      <c r="F26" s="34">
        <f t="shared" ref="F26:F48" si="3">EXP(-$C$19*B26)</f>
        <v>0.835503447295377</v>
      </c>
      <c r="G26" s="34">
        <f t="shared" ref="G26:G48" si="4">(EXP($C$15*$C$22*$C$21/2/$C$7/$C$14)-1)/(EXP($C$15*$C$22*$C$21/2/$C$7/$C$14)+1)</f>
        <v>-0.717952493219781</v>
      </c>
      <c r="H26" s="34">
        <f t="shared" ref="H26:H48" si="5">POWER($G26,2)</f>
        <v>0.5154557825205</v>
      </c>
      <c r="I26" s="34">
        <f t="shared" ref="I26:I48" si="6">$E26*$F26*$H26</f>
        <v>1.60409189711415e-18</v>
      </c>
      <c r="J26" s="34">
        <f t="shared" ref="J26:J48" si="7">$C$4/6</f>
        <v>9.28333333333333e-21</v>
      </c>
      <c r="K26" s="34">
        <f t="shared" ref="K26:K48" si="8">2*$C$13*$C$13/(B26*B26+4*$C$13*B26)</f>
        <v>30.775503626108</v>
      </c>
      <c r="L26" s="34">
        <f t="shared" ref="L26:L48" si="9">2*$C$13*$C$13/(B26*B26+4*$C$13*B26+4*$C$13*$C$13)</f>
        <v>0.492006523604266</v>
      </c>
      <c r="M26" s="34">
        <f t="shared" ref="M26:M49" si="10">(B26*B26+4*$C$13*B26)/(B26*B26+4*$C$13*B26+4*$C$13*$C$13)</f>
        <v>0.0159869527914688</v>
      </c>
      <c r="N26" s="5">
        <f t="shared" ref="N26:N48" si="11">LN(M26)</f>
        <v>-4.1359823399362</v>
      </c>
      <c r="O26" s="35">
        <f t="shared" ref="O26:O48" si="12">J26*(K26+L26+N26)</f>
        <v>2.51871016500754e-19</v>
      </c>
    </row>
    <row r="27" spans="1:15">
      <c r="A27" s="14">
        <v>0.001</v>
      </c>
      <c r="B27" s="36">
        <f t="shared" ref="B27:B48" si="13">A27/1000000000</f>
        <v>1e-12</v>
      </c>
      <c r="C27" s="36">
        <f t="shared" si="0"/>
        <v>-70841.0802607709</v>
      </c>
      <c r="D27" s="36">
        <f t="shared" si="1"/>
        <v>-2.84836504952523e-16</v>
      </c>
      <c r="E27" s="36">
        <f t="shared" si="2"/>
        <v>3.72468528236599e-18</v>
      </c>
      <c r="F27" s="36">
        <f t="shared" si="3"/>
        <v>0.999820295343888</v>
      </c>
      <c r="G27" s="36">
        <f t="shared" si="4"/>
        <v>-0.717952493219781</v>
      </c>
      <c r="H27" s="36">
        <f t="shared" si="5"/>
        <v>0.5154557825205</v>
      </c>
      <c r="I27" s="36">
        <f t="shared" si="6"/>
        <v>1.91956554999637e-18</v>
      </c>
      <c r="J27" s="36">
        <f t="shared" si="7"/>
        <v>9.28333333333333e-21</v>
      </c>
      <c r="K27" s="36">
        <f t="shared" si="8"/>
        <v>30899.8750005057</v>
      </c>
      <c r="L27" s="36">
        <f t="shared" si="9"/>
        <v>0.499991909483299</v>
      </c>
      <c r="M27" s="36">
        <f t="shared" si="10"/>
        <v>1.61810334014334e-5</v>
      </c>
      <c r="N27" s="10">
        <f t="shared" si="11"/>
        <v>-11.0316707793108</v>
      </c>
      <c r="O27" s="37">
        <f t="shared" si="12"/>
        <v>2.86756070502519e-16</v>
      </c>
    </row>
    <row r="28" spans="1:15">
      <c r="A28" s="15">
        <v>0.01</v>
      </c>
      <c r="B28" s="34">
        <f t="shared" si="13"/>
        <v>1e-11</v>
      </c>
      <c r="C28" s="34">
        <f t="shared" si="0"/>
        <v>-6638.38145222032</v>
      </c>
      <c r="D28" s="34">
        <f t="shared" si="1"/>
        <v>-2.66914813330306e-17</v>
      </c>
      <c r="E28" s="34">
        <f t="shared" si="2"/>
        <v>3.72468528236599e-18</v>
      </c>
      <c r="F28" s="34">
        <f t="shared" si="3"/>
        <v>0.998204405962053</v>
      </c>
      <c r="G28" s="34">
        <f t="shared" si="4"/>
        <v>-0.717952493219781</v>
      </c>
      <c r="H28" s="34">
        <f t="shared" si="5"/>
        <v>0.5154557825205</v>
      </c>
      <c r="I28" s="34">
        <f t="shared" si="6"/>
        <v>1.9164631868973e-18</v>
      </c>
      <c r="J28" s="34">
        <f t="shared" si="7"/>
        <v>9.28333333333333e-21</v>
      </c>
      <c r="K28" s="34">
        <f t="shared" si="8"/>
        <v>3089.87500505643</v>
      </c>
      <c r="L28" s="34">
        <f t="shared" si="9"/>
        <v>0.499919103668781</v>
      </c>
      <c r="M28" s="34">
        <f t="shared" si="10"/>
        <v>0.000161792662438024</v>
      </c>
      <c r="N28" s="5">
        <f t="shared" si="11"/>
        <v>-8.72919490394779</v>
      </c>
      <c r="O28" s="35">
        <f t="shared" si="12"/>
        <v>2.86079445199279e-17</v>
      </c>
    </row>
    <row r="29" spans="1:15">
      <c r="A29" s="14">
        <v>0.1</v>
      </c>
      <c r="B29" s="36">
        <f t="shared" si="13"/>
        <v>1e-10</v>
      </c>
      <c r="C29" s="36">
        <f t="shared" si="0"/>
        <v>-230.462592984443</v>
      </c>
      <c r="D29" s="36">
        <f t="shared" si="1"/>
        <v>-9.26639730313878e-19</v>
      </c>
      <c r="E29" s="36">
        <f t="shared" si="2"/>
        <v>3.72468528236599e-18</v>
      </c>
      <c r="F29" s="36">
        <f t="shared" si="3"/>
        <v>0.982188454193074</v>
      </c>
      <c r="G29" s="36">
        <f t="shared" si="4"/>
        <v>-0.717952493219781</v>
      </c>
      <c r="H29" s="36">
        <f t="shared" si="5"/>
        <v>0.5154557825205</v>
      </c>
      <c r="I29" s="36">
        <f t="shared" si="6"/>
        <v>1.88571399185764e-18</v>
      </c>
      <c r="J29" s="36">
        <f t="shared" si="7"/>
        <v>9.28333333333333e-21</v>
      </c>
      <c r="K29" s="36">
        <f t="shared" si="8"/>
        <v>308.875050545896</v>
      </c>
      <c r="L29" s="36">
        <f t="shared" si="9"/>
        <v>0.499191919323944</v>
      </c>
      <c r="M29" s="36">
        <f t="shared" si="10"/>
        <v>0.00161616135211209</v>
      </c>
      <c r="N29" s="10">
        <f t="shared" si="11"/>
        <v>-6.42770147726356</v>
      </c>
      <c r="O29" s="37">
        <f t="shared" si="12"/>
        <v>2.81235372217152e-18</v>
      </c>
    </row>
    <row r="30" spans="1:15">
      <c r="A30" s="15">
        <v>1</v>
      </c>
      <c r="B30" s="34">
        <f t="shared" si="13"/>
        <v>1e-9</v>
      </c>
      <c r="C30" s="34">
        <f t="shared" si="0"/>
        <v>336.307974112346</v>
      </c>
      <c r="D30" s="34">
        <f t="shared" si="1"/>
        <v>1.3522208806134e-18</v>
      </c>
      <c r="E30" s="34">
        <f t="shared" si="2"/>
        <v>3.72468528236599e-18</v>
      </c>
      <c r="F30" s="34">
        <f t="shared" si="3"/>
        <v>0.835503447295377</v>
      </c>
      <c r="G30" s="34">
        <f t="shared" si="4"/>
        <v>-0.717952493219781</v>
      </c>
      <c r="H30" s="34">
        <f t="shared" si="5"/>
        <v>0.5154557825205</v>
      </c>
      <c r="I30" s="34">
        <f t="shared" si="6"/>
        <v>1.60409189711415e-18</v>
      </c>
      <c r="J30" s="34">
        <f t="shared" si="7"/>
        <v>9.28333333333333e-21</v>
      </c>
      <c r="K30" s="34">
        <f t="shared" si="8"/>
        <v>30.775503626108</v>
      </c>
      <c r="L30" s="34">
        <f t="shared" si="9"/>
        <v>0.492006523604266</v>
      </c>
      <c r="M30" s="34">
        <f t="shared" si="10"/>
        <v>0.0159869527914688</v>
      </c>
      <c r="N30" s="5">
        <f t="shared" si="11"/>
        <v>-4.1359823399362</v>
      </c>
      <c r="O30" s="35">
        <f t="shared" si="12"/>
        <v>2.51871016500754e-19</v>
      </c>
    </row>
    <row r="31" spans="1:15">
      <c r="A31" s="14">
        <v>2</v>
      </c>
      <c r="B31" s="36">
        <f t="shared" si="13"/>
        <v>2e-9</v>
      </c>
      <c r="C31" s="36">
        <f t="shared" si="0"/>
        <v>304.797703586286</v>
      </c>
      <c r="D31" s="36">
        <f t="shared" si="1"/>
        <v>1.22552496782222e-18</v>
      </c>
      <c r="E31" s="36">
        <f t="shared" si="2"/>
        <v>3.72468528236599e-18</v>
      </c>
      <c r="F31" s="36">
        <f t="shared" si="3"/>
        <v>0.698066010442458</v>
      </c>
      <c r="G31" s="36">
        <f t="shared" si="4"/>
        <v>-0.717952493219781</v>
      </c>
      <c r="H31" s="36">
        <f t="shared" si="5"/>
        <v>0.5154557825205</v>
      </c>
      <c r="I31" s="36">
        <f t="shared" si="6"/>
        <v>1.34022430981745e-18</v>
      </c>
      <c r="J31" s="36">
        <f t="shared" si="7"/>
        <v>9.28333333333333e-21</v>
      </c>
      <c r="K31" s="36">
        <f t="shared" si="8"/>
        <v>15.3260032102729</v>
      </c>
      <c r="L31" s="36">
        <f t="shared" si="9"/>
        <v>0.484203213112094</v>
      </c>
      <c r="M31" s="36">
        <f t="shared" si="10"/>
        <v>0.0315935737758124</v>
      </c>
      <c r="N31" s="10">
        <f t="shared" si="11"/>
        <v>-3.45480154059495</v>
      </c>
      <c r="O31" s="37">
        <f t="shared" si="12"/>
        <v>1.14699341995234e-19</v>
      </c>
    </row>
    <row r="32" spans="1:15">
      <c r="A32" s="15">
        <v>3</v>
      </c>
      <c r="B32" s="34">
        <f t="shared" si="13"/>
        <v>3e-9</v>
      </c>
      <c r="C32" s="34">
        <f t="shared" si="0"/>
        <v>260.965182643981</v>
      </c>
      <c r="D32" s="34">
        <f t="shared" si="1"/>
        <v>1.04928397851904e-18</v>
      </c>
      <c r="E32" s="34">
        <f t="shared" si="2"/>
        <v>3.72468528236599e-18</v>
      </c>
      <c r="F32" s="34">
        <f t="shared" si="3"/>
        <v>0.583236558164404</v>
      </c>
      <c r="G32" s="34">
        <f t="shared" si="4"/>
        <v>-0.717952493219781</v>
      </c>
      <c r="H32" s="34">
        <f t="shared" si="5"/>
        <v>0.5154557825205</v>
      </c>
      <c r="I32" s="34">
        <f t="shared" si="6"/>
        <v>1.11976203100155e-18</v>
      </c>
      <c r="J32" s="34">
        <f t="shared" si="7"/>
        <v>9.28333333333333e-21</v>
      </c>
      <c r="K32" s="34">
        <f t="shared" si="8"/>
        <v>10.1764988009592</v>
      </c>
      <c r="L32" s="34">
        <f t="shared" si="9"/>
        <v>0.476584083915456</v>
      </c>
      <c r="M32" s="34">
        <f t="shared" si="10"/>
        <v>0.0468318321690888</v>
      </c>
      <c r="N32" s="5">
        <f t="shared" si="11"/>
        <v>-3.06119213271923</v>
      </c>
      <c r="O32" s="35">
        <f t="shared" si="12"/>
        <v>7.04780524825098e-20</v>
      </c>
    </row>
    <row r="33" spans="1:15">
      <c r="A33" s="14">
        <v>4</v>
      </c>
      <c r="B33" s="36">
        <f t="shared" si="13"/>
        <v>4e-9</v>
      </c>
      <c r="C33" s="36">
        <f t="shared" si="0"/>
        <v>220.478153307321</v>
      </c>
      <c r="D33" s="36">
        <f t="shared" si="1"/>
        <v>8.86494479972239e-19</v>
      </c>
      <c r="E33" s="36">
        <f t="shared" si="2"/>
        <v>3.72468528236599e-18</v>
      </c>
      <c r="F33" s="36">
        <f t="shared" si="3"/>
        <v>0.48729615493505</v>
      </c>
      <c r="G33" s="36">
        <f t="shared" si="4"/>
        <v>-0.717952493219781</v>
      </c>
      <c r="H33" s="36">
        <f t="shared" si="5"/>
        <v>0.5154557825205</v>
      </c>
      <c r="I33" s="36">
        <f t="shared" si="6"/>
        <v>9.35565037052268e-19</v>
      </c>
      <c r="J33" s="36">
        <f t="shared" si="7"/>
        <v>9.28333333333333e-21</v>
      </c>
      <c r="K33" s="36">
        <f t="shared" si="8"/>
        <v>7.60199044585987</v>
      </c>
      <c r="L33" s="36">
        <f t="shared" si="9"/>
        <v>0.46914338499032</v>
      </c>
      <c r="M33" s="36">
        <f t="shared" si="10"/>
        <v>0.0617132300193591</v>
      </c>
      <c r="N33" s="10">
        <f t="shared" si="11"/>
        <v>-2.78525694610744</v>
      </c>
      <c r="O33" s="37">
        <f t="shared" si="12"/>
        <v>4.90705570800285e-20</v>
      </c>
    </row>
    <row r="34" spans="1:15">
      <c r="A34" s="15">
        <v>5</v>
      </c>
      <c r="B34" s="34">
        <f t="shared" si="13"/>
        <v>5e-9</v>
      </c>
      <c r="C34" s="34">
        <f t="shared" si="0"/>
        <v>185.297183907138</v>
      </c>
      <c r="D34" s="34">
        <f t="shared" si="1"/>
        <v>7.45039489055917e-19</v>
      </c>
      <c r="E34" s="34">
        <f t="shared" si="2"/>
        <v>3.72468528236599e-18</v>
      </c>
      <c r="F34" s="34">
        <f t="shared" si="3"/>
        <v>0.407137617302016</v>
      </c>
      <c r="G34" s="34">
        <f t="shared" si="4"/>
        <v>-0.717952493219781</v>
      </c>
      <c r="H34" s="34">
        <f t="shared" si="5"/>
        <v>0.5154557825205</v>
      </c>
      <c r="I34" s="34">
        <f t="shared" si="6"/>
        <v>7.81667813626196e-19</v>
      </c>
      <c r="J34" s="34">
        <f t="shared" si="7"/>
        <v>9.28333333333333e-21</v>
      </c>
      <c r="K34" s="34">
        <f t="shared" si="8"/>
        <v>6.05747819191118</v>
      </c>
      <c r="L34" s="34">
        <f t="shared" si="9"/>
        <v>0.461875588041089</v>
      </c>
      <c r="M34" s="34">
        <f t="shared" si="10"/>
        <v>0.076248823917823</v>
      </c>
      <c r="N34" s="5">
        <f t="shared" si="11"/>
        <v>-2.57375328764212</v>
      </c>
      <c r="O34" s="35">
        <f t="shared" si="12"/>
        <v>3.66283245702792e-20</v>
      </c>
    </row>
    <row r="35" spans="1:15">
      <c r="A35" s="14">
        <v>6</v>
      </c>
      <c r="B35" s="36">
        <f t="shared" si="13"/>
        <v>6e-9</v>
      </c>
      <c r="C35" s="36">
        <f t="shared" si="0"/>
        <v>155.316972990959</v>
      </c>
      <c r="D35" s="36">
        <f t="shared" si="1"/>
        <v>6.24495611638047e-19</v>
      </c>
      <c r="E35" s="36">
        <f t="shared" si="2"/>
        <v>3.72468528236599e-18</v>
      </c>
      <c r="F35" s="36">
        <f t="shared" si="3"/>
        <v>0.34016488277946</v>
      </c>
      <c r="G35" s="36">
        <f t="shared" si="4"/>
        <v>-0.717952493219781</v>
      </c>
      <c r="H35" s="36">
        <f t="shared" si="5"/>
        <v>0.5154557825205</v>
      </c>
      <c r="I35" s="36">
        <f t="shared" si="6"/>
        <v>6.53086152924526e-19</v>
      </c>
      <c r="J35" s="36">
        <f t="shared" si="7"/>
        <v>9.28333333333333e-21</v>
      </c>
      <c r="K35" s="36">
        <f t="shared" si="8"/>
        <v>5.02796208530806</v>
      </c>
      <c r="L35" s="36">
        <f t="shared" si="9"/>
        <v>0.454775377229081</v>
      </c>
      <c r="M35" s="36">
        <f t="shared" si="10"/>
        <v>0.0904492455418381</v>
      </c>
      <c r="N35" s="10">
        <f t="shared" si="11"/>
        <v>-2.40296640833827</v>
      </c>
      <c r="O35" s="37">
        <f t="shared" si="12"/>
        <v>2.85905412864795e-20</v>
      </c>
    </row>
    <row r="36" spans="1:15">
      <c r="A36" s="15">
        <v>7</v>
      </c>
      <c r="B36" s="34">
        <f t="shared" si="13"/>
        <v>7e-9</v>
      </c>
      <c r="C36" s="34">
        <f t="shared" si="0"/>
        <v>129.982220575381</v>
      </c>
      <c r="D36" s="34">
        <f t="shared" si="1"/>
        <v>5.2263010781841e-19</v>
      </c>
      <c r="E36" s="34">
        <f t="shared" si="2"/>
        <v>3.72468528236599e-18</v>
      </c>
      <c r="F36" s="34">
        <f t="shared" si="3"/>
        <v>0.284208932211067</v>
      </c>
      <c r="G36" s="34">
        <f t="shared" si="4"/>
        <v>-0.717952493219781</v>
      </c>
      <c r="H36" s="34">
        <f t="shared" si="5"/>
        <v>0.5154557825205</v>
      </c>
      <c r="I36" s="34">
        <f t="shared" si="6"/>
        <v>5.45655732149318e-19</v>
      </c>
      <c r="J36" s="34">
        <f t="shared" si="7"/>
        <v>9.28333333333333e-21</v>
      </c>
      <c r="K36" s="34">
        <f t="shared" si="8"/>
        <v>4.2927278858042</v>
      </c>
      <c r="L36" s="34">
        <f t="shared" si="9"/>
        <v>0.447837639449449</v>
      </c>
      <c r="M36" s="34">
        <f t="shared" si="10"/>
        <v>0.104324721101102</v>
      </c>
      <c r="N36" s="5">
        <f t="shared" si="11"/>
        <v>-2.26024692587399</v>
      </c>
      <c r="O36" s="35">
        <f t="shared" si="12"/>
        <v>2.30256243309078e-20</v>
      </c>
    </row>
    <row r="37" spans="1:15">
      <c r="A37" s="14">
        <v>8</v>
      </c>
      <c r="B37" s="36">
        <f t="shared" si="13"/>
        <v>8e-9</v>
      </c>
      <c r="C37" s="36">
        <f t="shared" si="0"/>
        <v>108.664972404866</v>
      </c>
      <c r="D37" s="36">
        <f t="shared" si="1"/>
        <v>4.36918110743495e-19</v>
      </c>
      <c r="E37" s="36">
        <f t="shared" si="2"/>
        <v>3.72468528236599e-18</v>
      </c>
      <c r="F37" s="36">
        <f t="shared" si="3"/>
        <v>0.237457542614484</v>
      </c>
      <c r="G37" s="36">
        <f t="shared" si="4"/>
        <v>-0.717952493219781</v>
      </c>
      <c r="H37" s="36">
        <f t="shared" si="5"/>
        <v>0.5154557825205</v>
      </c>
      <c r="I37" s="36">
        <f t="shared" si="6"/>
        <v>4.55897245247237e-19</v>
      </c>
      <c r="J37" s="36">
        <f t="shared" si="7"/>
        <v>9.28333333333333e-21</v>
      </c>
      <c r="K37" s="36">
        <f t="shared" si="8"/>
        <v>3.74141849529781</v>
      </c>
      <c r="L37" s="36">
        <f t="shared" si="9"/>
        <v>0.44105745512329</v>
      </c>
      <c r="M37" s="36">
        <f t="shared" si="10"/>
        <v>0.117885089753421</v>
      </c>
      <c r="N37" s="10">
        <f t="shared" si="11"/>
        <v>-2.13804494463196</v>
      </c>
      <c r="O37" s="37">
        <f t="shared" si="12"/>
        <v>1.89791345037424e-20</v>
      </c>
    </row>
    <row r="38" spans="1:15">
      <c r="A38" s="15">
        <v>9</v>
      </c>
      <c r="B38" s="34">
        <f t="shared" si="13"/>
        <v>9e-9</v>
      </c>
      <c r="C38" s="34">
        <f t="shared" si="0"/>
        <v>90.7725638390837</v>
      </c>
      <c r="D38" s="34">
        <f t="shared" si="1"/>
        <v>3.64976645391757e-19</v>
      </c>
      <c r="E38" s="34">
        <f t="shared" si="2"/>
        <v>3.72468528236599e-18</v>
      </c>
      <c r="F38" s="34">
        <f t="shared" si="3"/>
        <v>0.19839659544069</v>
      </c>
      <c r="G38" s="34">
        <f t="shared" si="4"/>
        <v>-0.717952493219781</v>
      </c>
      <c r="H38" s="34">
        <f t="shared" si="5"/>
        <v>0.5154557825205</v>
      </c>
      <c r="I38" s="34">
        <f t="shared" si="6"/>
        <v>3.80903720016532e-19</v>
      </c>
      <c r="J38" s="34">
        <f t="shared" si="7"/>
        <v>9.28333333333333e-21</v>
      </c>
      <c r="K38" s="34">
        <f t="shared" si="8"/>
        <v>3.31272443403591</v>
      </c>
      <c r="L38" s="34">
        <f t="shared" si="9"/>
        <v>0.434430089474007</v>
      </c>
      <c r="M38" s="34">
        <f t="shared" si="10"/>
        <v>0.131139821051985</v>
      </c>
      <c r="N38" s="5">
        <f t="shared" si="11"/>
        <v>-2.03149118870467</v>
      </c>
      <c r="O38" s="35">
        <f t="shared" si="12"/>
        <v>1.59270746247754e-20</v>
      </c>
    </row>
    <row r="39" spans="1:15">
      <c r="A39" s="14">
        <v>10</v>
      </c>
      <c r="B39" s="36">
        <f t="shared" si="13"/>
        <v>1e-8</v>
      </c>
      <c r="C39" s="36">
        <f t="shared" si="0"/>
        <v>75.7782044545882</v>
      </c>
      <c r="D39" s="36">
        <f t="shared" si="1"/>
        <v>3.04687602574226e-19</v>
      </c>
      <c r="E39" s="36">
        <f t="shared" si="2"/>
        <v>3.72468528236599e-18</v>
      </c>
      <c r="F39" s="36">
        <f t="shared" si="3"/>
        <v>0.165761039422363</v>
      </c>
      <c r="G39" s="36">
        <f t="shared" si="4"/>
        <v>-0.717952493219781</v>
      </c>
      <c r="H39" s="36">
        <f t="shared" si="5"/>
        <v>0.5154557825205</v>
      </c>
      <c r="I39" s="36">
        <f t="shared" si="6"/>
        <v>3.18246371161446e-19</v>
      </c>
      <c r="J39" s="36">
        <f t="shared" si="7"/>
        <v>9.28333333333333e-21</v>
      </c>
      <c r="K39" s="36">
        <f t="shared" si="8"/>
        <v>2.9698600311042</v>
      </c>
      <c r="L39" s="36">
        <f t="shared" si="9"/>
        <v>0.427950984259027</v>
      </c>
      <c r="M39" s="36">
        <f t="shared" si="10"/>
        <v>0.144098031481946</v>
      </c>
      <c r="N39" s="10">
        <f t="shared" si="11"/>
        <v>-1.93726143684758</v>
      </c>
      <c r="O39" s="37">
        <f t="shared" si="12"/>
        <v>1.35587685872202e-20</v>
      </c>
    </row>
    <row r="40" spans="1:15">
      <c r="A40" s="15">
        <v>20</v>
      </c>
      <c r="B40" s="34">
        <f t="shared" si="13"/>
        <v>2e-8</v>
      </c>
      <c r="C40" s="34">
        <f t="shared" si="0"/>
        <v>12.0823511960037</v>
      </c>
      <c r="D40" s="34">
        <f t="shared" si="1"/>
        <v>4.85804941653945e-20</v>
      </c>
      <c r="E40" s="34">
        <f t="shared" si="2"/>
        <v>3.72468528236599e-18</v>
      </c>
      <c r="F40" s="34">
        <f t="shared" si="3"/>
        <v>0.0274767221903822</v>
      </c>
      <c r="G40" s="34">
        <f t="shared" si="4"/>
        <v>-0.717952493219781</v>
      </c>
      <c r="H40" s="34">
        <f t="shared" si="5"/>
        <v>0.5154557825205</v>
      </c>
      <c r="I40" s="34">
        <f t="shared" si="6"/>
        <v>5.27528492761165e-20</v>
      </c>
      <c r="J40" s="34">
        <f t="shared" si="7"/>
        <v>9.28333333333333e-21</v>
      </c>
      <c r="K40" s="34">
        <f t="shared" si="8"/>
        <v>1.42935628742515</v>
      </c>
      <c r="L40" s="34">
        <f t="shared" si="9"/>
        <v>0.370423103483058</v>
      </c>
      <c r="M40" s="34">
        <f t="shared" si="10"/>
        <v>0.259153793033884</v>
      </c>
      <c r="N40" s="5">
        <f t="shared" si="11"/>
        <v>-1.35033359801177</v>
      </c>
      <c r="O40" s="35">
        <f t="shared" si="12"/>
        <v>4.17235511072197e-21</v>
      </c>
    </row>
    <row r="41" spans="1:15">
      <c r="A41" s="14">
        <v>30</v>
      </c>
      <c r="B41" s="36">
        <f t="shared" si="13"/>
        <v>3e-8</v>
      </c>
      <c r="C41" s="36">
        <f t="shared" si="0"/>
        <v>1.71412862548946</v>
      </c>
      <c r="D41" s="36">
        <f t="shared" si="1"/>
        <v>6.89213666598844e-21</v>
      </c>
      <c r="E41" s="36">
        <f t="shared" si="2"/>
        <v>3.72468528236599e-18</v>
      </c>
      <c r="F41" s="36">
        <f t="shared" si="3"/>
        <v>0.00455457003019726</v>
      </c>
      <c r="G41" s="36">
        <f t="shared" si="4"/>
        <v>-0.717952493219781</v>
      </c>
      <c r="H41" s="36">
        <f t="shared" si="5"/>
        <v>0.5154557825205</v>
      </c>
      <c r="I41" s="36">
        <f t="shared" si="6"/>
        <v>8.74436712850031e-21</v>
      </c>
      <c r="J41" s="36">
        <f t="shared" si="7"/>
        <v>9.28333333333333e-21</v>
      </c>
      <c r="K41" s="36">
        <f t="shared" si="8"/>
        <v>0.918528138528139</v>
      </c>
      <c r="L41" s="36">
        <f t="shared" si="9"/>
        <v>0.323760986328125</v>
      </c>
      <c r="M41" s="36">
        <f t="shared" si="10"/>
        <v>0.35247802734375</v>
      </c>
      <c r="N41" s="10">
        <f t="shared" si="11"/>
        <v>-1.04276699244924</v>
      </c>
      <c r="O41" s="37">
        <f t="shared" si="12"/>
        <v>1.85223046251187e-21</v>
      </c>
    </row>
    <row r="42" spans="1:15">
      <c r="A42" s="15">
        <v>40</v>
      </c>
      <c r="B42" s="34">
        <f t="shared" si="13"/>
        <v>4e-8</v>
      </c>
      <c r="C42" s="34">
        <f t="shared" si="0"/>
        <v>0.119199356554811</v>
      </c>
      <c r="D42" s="34">
        <f t="shared" si="1"/>
        <v>4.79274567647488e-22</v>
      </c>
      <c r="E42" s="34">
        <f t="shared" si="2"/>
        <v>3.72468528236599e-18</v>
      </c>
      <c r="F42" s="34">
        <f t="shared" si="3"/>
        <v>0.000754970262327441</v>
      </c>
      <c r="G42" s="34">
        <f t="shared" si="4"/>
        <v>-0.717952493219781</v>
      </c>
      <c r="H42" s="34">
        <f t="shared" si="5"/>
        <v>0.5154557825205</v>
      </c>
      <c r="I42" s="34">
        <f t="shared" si="6"/>
        <v>1.44947538431096e-21</v>
      </c>
      <c r="J42" s="34">
        <f t="shared" si="7"/>
        <v>9.28333333333333e-21</v>
      </c>
      <c r="K42" s="34">
        <f t="shared" si="8"/>
        <v>0.664909470752089</v>
      </c>
      <c r="L42" s="34">
        <f t="shared" si="9"/>
        <v>0.285391048594879</v>
      </c>
      <c r="M42" s="34">
        <f t="shared" si="10"/>
        <v>0.429217902810242</v>
      </c>
      <c r="N42" s="5">
        <f t="shared" si="11"/>
        <v>-0.845790557049288</v>
      </c>
      <c r="O42" s="35">
        <f t="shared" si="12"/>
        <v>9.70200816663467e-22</v>
      </c>
    </row>
    <row r="43" spans="1:15">
      <c r="A43" s="14">
        <v>50</v>
      </c>
      <c r="B43" s="36">
        <f t="shared" si="13"/>
        <v>5e-8</v>
      </c>
      <c r="C43" s="36">
        <f t="shared" si="0"/>
        <v>-0.0797188772305042</v>
      </c>
      <c r="D43" s="36">
        <f t="shared" si="1"/>
        <v>-3.20532186769182e-22</v>
      </c>
      <c r="E43" s="36">
        <f t="shared" si="2"/>
        <v>3.72468528236599e-18</v>
      </c>
      <c r="F43" s="36">
        <f t="shared" si="3"/>
        <v>0.000125144655416371</v>
      </c>
      <c r="G43" s="36">
        <f t="shared" si="4"/>
        <v>-0.717952493219781</v>
      </c>
      <c r="H43" s="36">
        <f t="shared" si="5"/>
        <v>0.5154557825205</v>
      </c>
      <c r="I43" s="36">
        <f t="shared" si="6"/>
        <v>2.40266546320514e-22</v>
      </c>
      <c r="J43" s="36">
        <f t="shared" si="7"/>
        <v>9.28333333333333e-21</v>
      </c>
      <c r="K43" s="36">
        <f t="shared" si="8"/>
        <v>0.514029609690444</v>
      </c>
      <c r="L43" s="36">
        <f t="shared" si="9"/>
        <v>0.253458875745928</v>
      </c>
      <c r="M43" s="36">
        <f t="shared" si="10"/>
        <v>0.493082248508144</v>
      </c>
      <c r="N43" s="10">
        <f t="shared" si="11"/>
        <v>-0.707079286180749</v>
      </c>
      <c r="O43" s="37">
        <f t="shared" si="12"/>
        <v>5.60798733089696e-22</v>
      </c>
    </row>
    <row r="44" spans="1:15">
      <c r="A44" s="15">
        <v>60</v>
      </c>
      <c r="B44" s="34">
        <f t="shared" si="13"/>
        <v>6e-8</v>
      </c>
      <c r="C44" s="34">
        <f t="shared" si="0"/>
        <v>-0.0763057264466021</v>
      </c>
      <c r="D44" s="34">
        <f t="shared" si="1"/>
        <v>-3.06808653240558e-22</v>
      </c>
      <c r="E44" s="34">
        <f t="shared" si="2"/>
        <v>3.72468528236599e-18</v>
      </c>
      <c r="F44" s="34">
        <f t="shared" si="3"/>
        <v>2.07441081599711e-5</v>
      </c>
      <c r="G44" s="34">
        <f t="shared" si="4"/>
        <v>-0.717952493219781</v>
      </c>
      <c r="H44" s="34">
        <f t="shared" si="5"/>
        <v>0.5154557825205</v>
      </c>
      <c r="I44" s="34">
        <f t="shared" si="6"/>
        <v>3.98268324565097e-23</v>
      </c>
      <c r="J44" s="34">
        <f t="shared" si="7"/>
        <v>9.28333333333333e-21</v>
      </c>
      <c r="K44" s="34">
        <f t="shared" si="8"/>
        <v>0.4144140625</v>
      </c>
      <c r="L44" s="34">
        <f t="shared" si="9"/>
        <v>0.226600880003417</v>
      </c>
      <c r="M44" s="34">
        <f t="shared" si="10"/>
        <v>0.546798239993165</v>
      </c>
      <c r="N44" s="5">
        <f t="shared" si="11"/>
        <v>-0.603675392877162</v>
      </c>
      <c r="O44" s="35">
        <f t="shared" si="12"/>
        <v>3.46635485697068e-22</v>
      </c>
    </row>
    <row r="45" spans="1:15">
      <c r="A45" s="14">
        <v>70</v>
      </c>
      <c r="B45" s="36">
        <f t="shared" si="13"/>
        <v>7e-8</v>
      </c>
      <c r="C45" s="36">
        <f t="shared" si="0"/>
        <v>-0.0543459123403793</v>
      </c>
      <c r="D45" s="36">
        <f t="shared" si="1"/>
        <v>-2.18513038938819e-22</v>
      </c>
      <c r="E45" s="36">
        <f t="shared" si="2"/>
        <v>3.72468528236599e-18</v>
      </c>
      <c r="F45" s="36">
        <f t="shared" si="3"/>
        <v>3.43856493048672e-6</v>
      </c>
      <c r="G45" s="36">
        <f t="shared" si="4"/>
        <v>-0.717952493219781</v>
      </c>
      <c r="H45" s="36">
        <f t="shared" si="5"/>
        <v>0.5154557825205</v>
      </c>
      <c r="I45" s="36">
        <f t="shared" si="6"/>
        <v>6.60173714489132e-24</v>
      </c>
      <c r="J45" s="36">
        <f t="shared" si="7"/>
        <v>9.28333333333333e-21</v>
      </c>
      <c r="K45" s="36">
        <f t="shared" si="8"/>
        <v>0.344013691226806</v>
      </c>
      <c r="L45" s="36">
        <f t="shared" si="9"/>
        <v>0.203796274161601</v>
      </c>
      <c r="M45" s="36">
        <f t="shared" si="10"/>
        <v>0.592407451676798</v>
      </c>
      <c r="N45" s="10">
        <f t="shared" si="11"/>
        <v>-0.523560617874901</v>
      </c>
      <c r="O45" s="37">
        <f t="shared" si="12"/>
        <v>2.2511477608371e-22</v>
      </c>
    </row>
    <row r="46" spans="1:15">
      <c r="A46" s="15">
        <v>80</v>
      </c>
      <c r="B46" s="34">
        <f t="shared" si="13"/>
        <v>8e-8</v>
      </c>
      <c r="C46" s="34">
        <f t="shared" si="0"/>
        <v>-0.0375111482911612</v>
      </c>
      <c r="D46" s="34">
        <f t="shared" si="1"/>
        <v>-1.50824131092858e-22</v>
      </c>
      <c r="E46" s="34">
        <f t="shared" si="2"/>
        <v>3.72468528236599e-18</v>
      </c>
      <c r="F46" s="34">
        <f t="shared" si="3"/>
        <v>5.69980096998765e-7</v>
      </c>
      <c r="G46" s="34">
        <f t="shared" si="4"/>
        <v>-0.717952493219781</v>
      </c>
      <c r="H46" s="34">
        <f t="shared" si="5"/>
        <v>0.5154557825205</v>
      </c>
      <c r="I46" s="34">
        <f t="shared" si="6"/>
        <v>1.09431081113041e-24</v>
      </c>
      <c r="J46" s="34">
        <f t="shared" si="7"/>
        <v>9.28333333333333e-21</v>
      </c>
      <c r="K46" s="34">
        <f t="shared" si="8"/>
        <v>0.291812347188264</v>
      </c>
      <c r="L46" s="34">
        <f t="shared" si="9"/>
        <v>0.184268626414133</v>
      </c>
      <c r="M46" s="34">
        <f t="shared" si="10"/>
        <v>0.631462747171734</v>
      </c>
      <c r="N46" s="5">
        <f t="shared" si="11"/>
        <v>-0.459716329950262</v>
      </c>
      <c r="O46" s="35">
        <f t="shared" si="12"/>
        <v>1.51918441903988e-22</v>
      </c>
    </row>
    <row r="47" spans="1:15">
      <c r="A47" s="14">
        <v>90</v>
      </c>
      <c r="B47" s="36">
        <f t="shared" si="13"/>
        <v>9e-8</v>
      </c>
      <c r="C47" s="36">
        <f t="shared" si="0"/>
        <v>-0.0262546095010442</v>
      </c>
      <c r="D47" s="36">
        <f t="shared" si="1"/>
        <v>-1.05564048171523e-22</v>
      </c>
      <c r="E47" s="36">
        <f t="shared" si="2"/>
        <v>3.72468528236599e-18</v>
      </c>
      <c r="F47" s="36">
        <f t="shared" si="3"/>
        <v>9.44804933285746e-8</v>
      </c>
      <c r="G47" s="36">
        <f t="shared" si="4"/>
        <v>-0.717952493219781</v>
      </c>
      <c r="H47" s="36">
        <f t="shared" si="5"/>
        <v>0.5154557825205</v>
      </c>
      <c r="I47" s="36">
        <f t="shared" si="6"/>
        <v>1.81394097504106e-25</v>
      </c>
      <c r="J47" s="36">
        <f t="shared" si="7"/>
        <v>9.28333333333333e-21</v>
      </c>
      <c r="K47" s="36">
        <f t="shared" si="8"/>
        <v>0.251696322657177</v>
      </c>
      <c r="L47" s="36">
        <f t="shared" si="9"/>
        <v>0.167418886504229</v>
      </c>
      <c r="M47" s="36">
        <f t="shared" si="10"/>
        <v>0.665162226991541</v>
      </c>
      <c r="N47" s="10">
        <f t="shared" si="11"/>
        <v>-0.407724317714114</v>
      </c>
      <c r="O47" s="37">
        <f t="shared" si="12"/>
        <v>1.05745442269027e-22</v>
      </c>
    </row>
    <row r="48" spans="1:15">
      <c r="A48" s="15">
        <v>100</v>
      </c>
      <c r="B48" s="34">
        <f t="shared" si="13"/>
        <v>1e-7</v>
      </c>
      <c r="C48" s="34">
        <f t="shared" si="0"/>
        <v>-0.0187746407621549</v>
      </c>
      <c r="D48" s="34">
        <f t="shared" si="1"/>
        <v>-7.54887282456184e-23</v>
      </c>
      <c r="E48" s="34">
        <f t="shared" si="2"/>
        <v>3.72468528236599e-18</v>
      </c>
      <c r="F48" s="34">
        <f t="shared" si="3"/>
        <v>1.56611847792822e-8</v>
      </c>
      <c r="G48" s="34">
        <f t="shared" si="4"/>
        <v>-0.717952493219781</v>
      </c>
      <c r="H48" s="34">
        <f t="shared" si="5"/>
        <v>0.5154557825205</v>
      </c>
      <c r="I48" s="34">
        <f t="shared" si="6"/>
        <v>3.00680741473622e-26</v>
      </c>
      <c r="J48" s="34">
        <f t="shared" si="7"/>
        <v>9.28333333333333e-21</v>
      </c>
      <c r="K48" s="34">
        <f t="shared" si="8"/>
        <v>0.220002304147465</v>
      </c>
      <c r="L48" s="34">
        <f t="shared" si="9"/>
        <v>0.152778888956449</v>
      </c>
      <c r="M48" s="34">
        <f t="shared" si="10"/>
        <v>0.694442222087103</v>
      </c>
      <c r="N48" s="5">
        <f t="shared" si="11"/>
        <v>-0.364646313787602</v>
      </c>
      <c r="O48" s="35">
        <f t="shared" si="12"/>
        <v>7.55187963197658e-23</v>
      </c>
    </row>
    <row r="49" spans="1:15">
      <c r="A49" s="38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9">
        <f t="shared" si="10"/>
        <v>0</v>
      </c>
      <c r="N49" s="40"/>
      <c r="O49" s="41"/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49"/>
  <sheetViews>
    <sheetView zoomScale="59" zoomScaleNormal="59" topLeftCell="A4" workbookViewId="0">
      <selection activeCell="P17" sqref="P17"/>
    </sheetView>
  </sheetViews>
  <sheetFormatPr defaultColWidth="9.10576923076923" defaultRowHeight="16.8"/>
  <cols>
    <col min="2" max="2" width="36" customWidth="1"/>
    <col min="3" max="3" width="12" customWidth="1"/>
    <col min="4" max="4" width="9.44230769230769" customWidth="1"/>
    <col min="5" max="5" width="22.7788461538462" customWidth="1"/>
    <col min="6" max="6" width="12.5576923076923" customWidth="1"/>
    <col min="7" max="7" width="12" customWidth="1"/>
    <col min="8" max="8" width="26.1057692307692" customWidth="1"/>
    <col min="9" max="9" width="31.7788461538462" customWidth="1"/>
    <col min="10" max="10" width="9.23076923076923"/>
    <col min="11" max="11" width="13.1057692307692" customWidth="1"/>
    <col min="12" max="12" width="16" customWidth="1"/>
    <col min="13" max="13" width="10"/>
    <col min="14" max="14" width="14.0769230769231"/>
    <col min="15" max="15" width="9.23076923076923"/>
  </cols>
  <sheetData>
    <row r="3" spans="1:7">
      <c r="A3" s="1" t="s">
        <v>0</v>
      </c>
      <c r="B3" s="2" t="s">
        <v>1</v>
      </c>
      <c r="C3" s="2" t="s">
        <v>2</v>
      </c>
      <c r="D3" s="2" t="s">
        <v>3</v>
      </c>
      <c r="E3" s="3" t="s">
        <v>70</v>
      </c>
    </row>
    <row r="4" spans="1:7">
      <c r="A4" s="4" t="s">
        <v>5</v>
      </c>
      <c r="B4" s="5" t="s">
        <v>6</v>
      </c>
      <c r="C4" s="6">
        <v>5.57e-20</v>
      </c>
      <c r="D4" s="5" t="s">
        <v>7</v>
      </c>
      <c r="E4" s="7"/>
      <c r="G4" s="8"/>
    </row>
    <row r="5" spans="1:7">
      <c r="A5" s="9" t="s">
        <v>9</v>
      </c>
      <c r="B5" s="10" t="s">
        <v>10</v>
      </c>
      <c r="C5" s="11">
        <f>10/1000</f>
        <v>0.01</v>
      </c>
      <c r="D5" s="10"/>
      <c r="E5" s="12"/>
      <c r="G5" s="8"/>
    </row>
    <row r="6" spans="1:7">
      <c r="A6" s="4" t="s">
        <v>12</v>
      </c>
      <c r="B6" s="5" t="s">
        <v>13</v>
      </c>
      <c r="C6" s="13">
        <f>30/1000</f>
        <v>0.03</v>
      </c>
      <c r="D6" s="5"/>
      <c r="E6" s="7"/>
      <c r="G6" s="8"/>
    </row>
    <row r="7" ht="20" spans="1:7">
      <c r="A7" s="14" t="s">
        <v>15</v>
      </c>
      <c r="B7" s="10" t="s">
        <v>16</v>
      </c>
      <c r="C7" s="11">
        <v>1.381e-23</v>
      </c>
      <c r="D7" s="10" t="s">
        <v>71</v>
      </c>
      <c r="E7" s="12"/>
    </row>
    <row r="8" ht="20" spans="1:7">
      <c r="A8" s="15" t="s">
        <v>19</v>
      </c>
      <c r="B8" s="5"/>
      <c r="C8" s="13">
        <f>C7*C14</f>
        <v>4.0207815e-21</v>
      </c>
      <c r="D8" s="5"/>
      <c r="E8" s="7"/>
    </row>
    <row r="9" spans="1:7">
      <c r="A9" s="9" t="s">
        <v>20</v>
      </c>
      <c r="B9" s="10" t="s">
        <v>21</v>
      </c>
      <c r="C9" s="11">
        <f>C11*C12*1000</f>
        <v>2.408e+25</v>
      </c>
      <c r="D9" s="10" t="s">
        <v>22</v>
      </c>
      <c r="E9" s="12"/>
    </row>
    <row r="10" spans="1:7">
      <c r="A10" s="4"/>
      <c r="B10" s="5" t="s">
        <v>24</v>
      </c>
      <c r="C10" s="5"/>
      <c r="D10" s="5"/>
      <c r="E10" s="7"/>
    </row>
    <row r="11" spans="1:7">
      <c r="A11" s="9"/>
      <c r="B11" s="10" t="s">
        <v>26</v>
      </c>
      <c r="C11" s="11">
        <v>6.02e+23</v>
      </c>
      <c r="D11" s="10"/>
      <c r="E11" s="12"/>
    </row>
    <row r="12" spans="1:7">
      <c r="A12" s="4"/>
      <c r="B12" s="5" t="s">
        <v>28</v>
      </c>
      <c r="C12" s="13">
        <f>4*C5</f>
        <v>0.04</v>
      </c>
      <c r="D12" s="5"/>
      <c r="E12" s="7"/>
    </row>
    <row r="13" spans="1:7">
      <c r="A13" s="9" t="s">
        <v>30</v>
      </c>
      <c r="B13" s="10" t="s">
        <v>31</v>
      </c>
      <c r="C13" s="11">
        <f>67.537/1000000000</f>
        <v>6.7537e-8</v>
      </c>
      <c r="D13" s="10" t="s">
        <v>32</v>
      </c>
      <c r="E13" s="12"/>
    </row>
    <row r="14" spans="1:7">
      <c r="A14" s="4" t="s">
        <v>34</v>
      </c>
      <c r="B14" s="5" t="s">
        <v>35</v>
      </c>
      <c r="C14" s="16">
        <v>291.15</v>
      </c>
      <c r="D14" s="5" t="s">
        <v>36</v>
      </c>
      <c r="E14" s="7"/>
    </row>
    <row r="15" spans="1:7">
      <c r="A15" s="9" t="s">
        <v>38</v>
      </c>
      <c r="B15" s="10"/>
      <c r="C15" s="17">
        <v>3</v>
      </c>
      <c r="D15" s="10"/>
      <c r="E15" s="12"/>
    </row>
    <row r="16" ht="18.75" customHeight="1" spans="1:7">
      <c r="A16" s="4" t="s">
        <v>39</v>
      </c>
      <c r="B16" s="18" t="s">
        <v>40</v>
      </c>
      <c r="C16" s="19">
        <f>C17*C18</f>
        <v>7.0832e-10</v>
      </c>
      <c r="D16" s="18" t="s">
        <v>41</v>
      </c>
      <c r="E16" s="20"/>
      <c r="F16" s="21"/>
      <c r="G16" s="21"/>
    </row>
    <row r="17" ht="21.75" customHeight="1" spans="1:15">
      <c r="A17" s="9"/>
      <c r="B17" s="22" t="s">
        <v>43</v>
      </c>
      <c r="C17" s="23">
        <v>8.854e-12</v>
      </c>
      <c r="D17" s="22"/>
      <c r="E17" s="24"/>
      <c r="F17" s="21"/>
      <c r="G17" s="21"/>
    </row>
    <row r="18" ht="23.25" customHeight="1" spans="1:15">
      <c r="A18" s="4"/>
      <c r="B18" s="18" t="s">
        <v>45</v>
      </c>
      <c r="C18" s="25">
        <v>80</v>
      </c>
      <c r="D18" s="18"/>
      <c r="E18" s="20"/>
      <c r="F18" s="21"/>
      <c r="G18" s="21"/>
    </row>
    <row r="19" ht="17" spans="1:15">
      <c r="A19" s="9" t="s">
        <v>46</v>
      </c>
      <c r="B19" s="10" t="s">
        <v>47</v>
      </c>
      <c r="C19" s="11">
        <f>1/((4.31*POWER(2*C6,-0.5)/10000000000))</f>
        <v>568327086.492617</v>
      </c>
      <c r="D19" s="10" t="s">
        <v>48</v>
      </c>
      <c r="E19" s="12"/>
    </row>
    <row r="20" spans="1:15">
      <c r="A20" s="4" t="s">
        <v>50</v>
      </c>
      <c r="B20" s="5"/>
      <c r="C20" s="16">
        <v>3.1416</v>
      </c>
      <c r="D20" s="5"/>
      <c r="E20" s="7"/>
    </row>
    <row r="21" ht="18.75" customHeight="1" spans="1:15">
      <c r="A21" s="9" t="s">
        <v>51</v>
      </c>
      <c r="B21" s="26" t="s">
        <v>52</v>
      </c>
      <c r="C21" s="23">
        <f>-31.22/1000</f>
        <v>-0.03122</v>
      </c>
      <c r="D21" s="26" t="s">
        <v>53</v>
      </c>
      <c r="E21" s="27"/>
      <c r="F21" s="28"/>
      <c r="G21" s="28"/>
    </row>
    <row r="22" ht="17.25" customHeight="1" spans="1:15">
      <c r="A22" s="29" t="s">
        <v>55</v>
      </c>
      <c r="B22" s="30"/>
      <c r="C22" s="31">
        <v>1.6e-19</v>
      </c>
      <c r="D22" s="30"/>
      <c r="E22" s="32"/>
      <c r="F22" s="28"/>
      <c r="G22" s="28"/>
    </row>
    <row r="23" ht="17.25" customHeight="1" spans="1:15">
      <c r="A23" s="28"/>
      <c r="B23" s="28"/>
      <c r="C23" s="28"/>
      <c r="D23" s="28"/>
      <c r="E23" s="28"/>
      <c r="F23" s="28"/>
      <c r="G23" s="28"/>
    </row>
    <row r="24" ht="17.25" customHeight="1" spans="1:15">
      <c r="A24" s="28"/>
      <c r="B24" s="28"/>
      <c r="C24" s="28"/>
      <c r="D24" s="28"/>
      <c r="E24" s="28"/>
      <c r="F24" s="28"/>
      <c r="G24" s="28"/>
    </row>
    <row r="25" ht="20" spans="1:15">
      <c r="A25" s="33"/>
      <c r="B25" s="2" t="s">
        <v>56</v>
      </c>
      <c r="C25" s="2" t="s">
        <v>57</v>
      </c>
      <c r="D25" s="2" t="s">
        <v>58</v>
      </c>
      <c r="E25" s="2" t="s">
        <v>59</v>
      </c>
      <c r="F25" s="2" t="s">
        <v>60</v>
      </c>
      <c r="G25" s="2" t="s">
        <v>61</v>
      </c>
      <c r="H25" s="2" t="s">
        <v>62</v>
      </c>
      <c r="I25" s="2" t="s">
        <v>63</v>
      </c>
      <c r="J25" s="2" t="s">
        <v>64</v>
      </c>
      <c r="K25" s="2" t="s">
        <v>65</v>
      </c>
      <c r="L25" s="2" t="s">
        <v>66</v>
      </c>
      <c r="M25" s="2" t="s">
        <v>67</v>
      </c>
      <c r="N25" s="2" t="s">
        <v>68</v>
      </c>
      <c r="O25" s="3"/>
    </row>
    <row r="26" spans="1:15">
      <c r="A26" s="15">
        <v>0.0001</v>
      </c>
      <c r="B26" s="34">
        <v>1e-9</v>
      </c>
      <c r="C26" s="34">
        <f t="shared" ref="C26:C48" si="0">D26/$C$8</f>
        <v>237.722594393294</v>
      </c>
      <c r="D26" s="34">
        <f t="shared" ref="D26:D48" si="1">I26-O26</f>
        <v>9.55830609668559e-19</v>
      </c>
      <c r="E26" s="34">
        <f t="shared" ref="E26:E48" si="2">64*$C$20*$C$9*$C$13*$C$7*$C$14/$C$19/$C$19</f>
        <v>4.0704542057468e-18</v>
      </c>
      <c r="F26" s="34">
        <f t="shared" ref="F26:F48" si="3">EXP(-$C$19*B26)</f>
        <v>0.566472305637123</v>
      </c>
      <c r="G26" s="34">
        <f t="shared" ref="G26:G48" si="4">(EXP($C$15*$C$22*$C$21/2/$C$7/$C$14)-1)/(EXP($C$15*C$22*$C$21/2/$C$7/$C$14)+1)</f>
        <v>-0.731413020966864</v>
      </c>
      <c r="H26" s="34">
        <f t="shared" ref="H26:H48" si="5">POWER($G26,2)</f>
        <v>0.534965007239874</v>
      </c>
      <c r="I26" s="34">
        <f t="shared" ref="I26:I48" si="6">$E26*$F26*$H26</f>
        <v>1.23352208843048e-18</v>
      </c>
      <c r="J26" s="34">
        <f t="shared" ref="J26:J48" si="7">$C$4/6</f>
        <v>9.28333333333333e-21</v>
      </c>
      <c r="K26" s="34">
        <f t="shared" ref="K26:K48" si="8">2*$C$13*$C$13/(B26*B26+4*$C$13*B26)</f>
        <v>33.6439610028472</v>
      </c>
      <c r="L26" s="34">
        <f t="shared" ref="L26:L48" si="9">2*$C$13*$C$13/(B26*B26+4*$C$13*B26+4*$C$13*$C$13)</f>
        <v>0.492678060990664</v>
      </c>
      <c r="M26" s="34">
        <f t="shared" ref="M26:M49" si="10">(B26*B26+4*$C$13*B26)/(B26*B26+4*$C$13*B26+4*$C$13*$C$13)</f>
        <v>0.0146438780186724</v>
      </c>
      <c r="N26" s="5">
        <f t="shared" ref="N26:N48" si="11">LN(M26)</f>
        <v>-4.22373291354084</v>
      </c>
      <c r="O26" s="35">
        <f t="shared" ref="O26:O48" si="12">J26*(K26+L26+N26)</f>
        <v>2.77691478761924e-19</v>
      </c>
    </row>
    <row r="27" spans="1:15">
      <c r="A27" s="14">
        <v>0.001</v>
      </c>
      <c r="B27" s="36">
        <f t="shared" ref="B27:B48" si="13">A27/1000000000</f>
        <v>1e-12</v>
      </c>
      <c r="C27" s="36">
        <f t="shared" si="0"/>
        <v>-77399.9220619773</v>
      </c>
      <c r="D27" s="36">
        <f t="shared" si="1"/>
        <v>-3.1120817472824e-16</v>
      </c>
      <c r="E27" s="36">
        <f t="shared" si="2"/>
        <v>4.0704542057468e-18</v>
      </c>
      <c r="F27" s="36">
        <f t="shared" si="3"/>
        <v>0.999431834380756</v>
      </c>
      <c r="G27" s="36">
        <f t="shared" si="4"/>
        <v>-0.731413020966864</v>
      </c>
      <c r="H27" s="36">
        <f t="shared" si="5"/>
        <v>0.534965007239874</v>
      </c>
      <c r="I27" s="36">
        <f t="shared" si="6"/>
        <v>2.17631335428248e-18</v>
      </c>
      <c r="J27" s="36">
        <f t="shared" si="7"/>
        <v>9.28333333333333e-21</v>
      </c>
      <c r="K27" s="36">
        <f t="shared" si="8"/>
        <v>33768.3750004627</v>
      </c>
      <c r="L27" s="36">
        <f t="shared" si="9"/>
        <v>0.499992596732938</v>
      </c>
      <c r="M27" s="36">
        <f t="shared" si="10"/>
        <v>1.48065341233058e-5</v>
      </c>
      <c r="N27" s="10">
        <f t="shared" si="11"/>
        <v>-11.1204419798064</v>
      </c>
      <c r="O27" s="37">
        <f t="shared" si="12"/>
        <v>3.13384488082523e-16</v>
      </c>
    </row>
    <row r="28" spans="1:15">
      <c r="A28" s="15">
        <v>0.01</v>
      </c>
      <c r="B28" s="34">
        <f t="shared" si="13"/>
        <v>1e-11</v>
      </c>
      <c r="C28" s="34">
        <f t="shared" si="0"/>
        <v>-7238.6014224986</v>
      </c>
      <c r="D28" s="34">
        <f t="shared" si="1"/>
        <v>-2.91048346854561e-17</v>
      </c>
      <c r="E28" s="34">
        <f t="shared" si="2"/>
        <v>4.0704542057468e-18</v>
      </c>
      <c r="F28" s="34">
        <f t="shared" si="3"/>
        <v>0.994332848367824</v>
      </c>
      <c r="G28" s="34">
        <f t="shared" si="4"/>
        <v>-0.731413020966864</v>
      </c>
      <c r="H28" s="34">
        <f t="shared" si="5"/>
        <v>0.534965007239874</v>
      </c>
      <c r="I28" s="34">
        <f t="shared" si="6"/>
        <v>2.16521005441599e-18</v>
      </c>
      <c r="J28" s="34">
        <f t="shared" si="7"/>
        <v>9.28333333333333e-21</v>
      </c>
      <c r="K28" s="34">
        <f t="shared" si="8"/>
        <v>3376.72500462692</v>
      </c>
      <c r="L28" s="34">
        <f t="shared" si="9"/>
        <v>0.499925974727873</v>
      </c>
      <c r="M28" s="34">
        <f t="shared" si="10"/>
        <v>0.000148050544253043</v>
      </c>
      <c r="N28" s="5">
        <f t="shared" si="11"/>
        <v>-8.81795682727995</v>
      </c>
      <c r="O28" s="35">
        <f t="shared" si="12"/>
        <v>3.12700447398721e-17</v>
      </c>
    </row>
    <row r="29" spans="1:15">
      <c r="A29" s="14">
        <v>0.1</v>
      </c>
      <c r="B29" s="36">
        <f t="shared" si="13"/>
        <v>1e-10</v>
      </c>
      <c r="C29" s="36">
        <f t="shared" si="0"/>
        <v>-253.825807422547</v>
      </c>
      <c r="D29" s="36">
        <f t="shared" si="1"/>
        <v>-1.02057811070714e-18</v>
      </c>
      <c r="E29" s="36">
        <f t="shared" si="2"/>
        <v>4.0704542057468e-18</v>
      </c>
      <c r="F29" s="36">
        <f t="shared" si="3"/>
        <v>0.944752105002916</v>
      </c>
      <c r="G29" s="36">
        <f t="shared" si="4"/>
        <v>-0.731413020966864</v>
      </c>
      <c r="H29" s="36">
        <f t="shared" si="5"/>
        <v>0.534965007239874</v>
      </c>
      <c r="I29" s="36">
        <f t="shared" si="6"/>
        <v>2.05724547875571e-18</v>
      </c>
      <c r="J29" s="36">
        <f t="shared" si="7"/>
        <v>9.28333333333333e-21</v>
      </c>
      <c r="K29" s="36">
        <f t="shared" si="8"/>
        <v>337.560046253811</v>
      </c>
      <c r="L29" s="36">
        <f t="shared" si="9"/>
        <v>0.499260486405388</v>
      </c>
      <c r="M29" s="36">
        <f t="shared" si="10"/>
        <v>0.00147902718922486</v>
      </c>
      <c r="N29" s="10">
        <f t="shared" si="11"/>
        <v>-6.51637071190328</v>
      </c>
      <c r="O29" s="37">
        <f t="shared" si="12"/>
        <v>3.07782358946284e-18</v>
      </c>
    </row>
    <row r="30" spans="1:15">
      <c r="A30" s="15">
        <v>1</v>
      </c>
      <c r="B30" s="34">
        <f t="shared" si="13"/>
        <v>1e-9</v>
      </c>
      <c r="C30" s="34">
        <f t="shared" si="0"/>
        <v>237.722594393294</v>
      </c>
      <c r="D30" s="34">
        <f t="shared" si="1"/>
        <v>9.55830609668559e-19</v>
      </c>
      <c r="E30" s="34">
        <f t="shared" si="2"/>
        <v>4.0704542057468e-18</v>
      </c>
      <c r="F30" s="34">
        <f t="shared" si="3"/>
        <v>0.566472305637123</v>
      </c>
      <c r="G30" s="34">
        <f t="shared" si="4"/>
        <v>-0.731413020966864</v>
      </c>
      <c r="H30" s="34">
        <f t="shared" si="5"/>
        <v>0.534965007239874</v>
      </c>
      <c r="I30" s="34">
        <f t="shared" si="6"/>
        <v>1.23352208843048e-18</v>
      </c>
      <c r="J30" s="34">
        <f t="shared" si="7"/>
        <v>9.28333333333333e-21</v>
      </c>
      <c r="K30" s="34">
        <f t="shared" si="8"/>
        <v>33.6439610028472</v>
      </c>
      <c r="L30" s="34">
        <f t="shared" si="9"/>
        <v>0.492678060990664</v>
      </c>
      <c r="M30" s="34">
        <f t="shared" si="10"/>
        <v>0.0146438780186724</v>
      </c>
      <c r="N30" s="5">
        <f t="shared" si="11"/>
        <v>-4.22373291354084</v>
      </c>
      <c r="O30" s="35">
        <f t="shared" si="12"/>
        <v>2.77691478761924e-19</v>
      </c>
    </row>
    <row r="31" spans="1:15">
      <c r="A31" s="14">
        <v>2</v>
      </c>
      <c r="B31" s="36">
        <f t="shared" si="13"/>
        <v>2e-9</v>
      </c>
      <c r="C31" s="36">
        <f t="shared" si="0"/>
        <v>142.145511044936</v>
      </c>
      <c r="D31" s="36">
        <f t="shared" si="1"/>
        <v>5.71536041117524e-19</v>
      </c>
      <c r="E31" s="36">
        <f t="shared" si="2"/>
        <v>4.0704542057468e-18</v>
      </c>
      <c r="F31" s="36">
        <f t="shared" si="3"/>
        <v>0.320890873053838</v>
      </c>
      <c r="G31" s="36">
        <f t="shared" si="4"/>
        <v>-0.731413020966864</v>
      </c>
      <c r="H31" s="36">
        <f t="shared" si="5"/>
        <v>0.534965007239874</v>
      </c>
      <c r="I31" s="36">
        <f t="shared" si="6"/>
        <v>6.98756101487534e-19</v>
      </c>
      <c r="J31" s="36">
        <f t="shared" si="7"/>
        <v>9.28333333333333e-21</v>
      </c>
      <c r="K31" s="36">
        <f t="shared" si="8"/>
        <v>16.7601686178109</v>
      </c>
      <c r="L31" s="36">
        <f t="shared" si="9"/>
        <v>0.485515784605834</v>
      </c>
      <c r="M31" s="36">
        <f t="shared" si="10"/>
        <v>0.0289684307883323</v>
      </c>
      <c r="N31" s="10">
        <f t="shared" si="11"/>
        <v>-3.54154863544972</v>
      </c>
      <c r="O31" s="37">
        <f t="shared" si="12"/>
        <v>1.2722006037001e-19</v>
      </c>
    </row>
    <row r="32" spans="1:15">
      <c r="A32" s="15">
        <v>3</v>
      </c>
      <c r="B32" s="34">
        <f t="shared" si="13"/>
        <v>3e-9</v>
      </c>
      <c r="C32" s="34">
        <f t="shared" si="0"/>
        <v>78.9028123291715</v>
      </c>
      <c r="D32" s="34">
        <f t="shared" si="1"/>
        <v>3.17250968111105e-19</v>
      </c>
      <c r="E32" s="34">
        <f t="shared" si="2"/>
        <v>4.0704542057468e-18</v>
      </c>
      <c r="F32" s="34">
        <f t="shared" si="3"/>
        <v>0.181775792716717</v>
      </c>
      <c r="G32" s="34">
        <f t="shared" si="4"/>
        <v>-0.731413020966864</v>
      </c>
      <c r="H32" s="34">
        <f t="shared" si="5"/>
        <v>0.534965007239874</v>
      </c>
      <c r="I32" s="34">
        <f t="shared" si="6"/>
        <v>3.95825979887651e-19</v>
      </c>
      <c r="J32" s="34">
        <f t="shared" si="7"/>
        <v>9.28333333333333e-21</v>
      </c>
      <c r="K32" s="34">
        <f t="shared" si="8"/>
        <v>11.1325395487672</v>
      </c>
      <c r="L32" s="34">
        <f t="shared" si="9"/>
        <v>0.478508562214474</v>
      </c>
      <c r="M32" s="34">
        <f t="shared" si="10"/>
        <v>0.0429828755710518</v>
      </c>
      <c r="N32" s="5">
        <f t="shared" si="11"/>
        <v>-3.14695348514187</v>
      </c>
      <c r="O32" s="35">
        <f t="shared" si="12"/>
        <v>7.85750117765463e-20</v>
      </c>
    </row>
    <row r="33" spans="1:15">
      <c r="A33" s="14">
        <v>4</v>
      </c>
      <c r="B33" s="36">
        <f t="shared" si="13"/>
        <v>4e-9</v>
      </c>
      <c r="C33" s="36">
        <f t="shared" si="0"/>
        <v>42.0967933120104</v>
      </c>
      <c r="D33" s="36">
        <f t="shared" si="1"/>
        <v>1.69262007758255e-19</v>
      </c>
      <c r="E33" s="36">
        <f t="shared" si="2"/>
        <v>4.0704542057468e-18</v>
      </c>
      <c r="F33" s="36">
        <f t="shared" si="3"/>
        <v>0.102970952409254</v>
      </c>
      <c r="G33" s="36">
        <f t="shared" si="4"/>
        <v>-0.731413020966864</v>
      </c>
      <c r="H33" s="36">
        <f t="shared" si="5"/>
        <v>0.534965007239874</v>
      </c>
      <c r="I33" s="36">
        <f t="shared" si="6"/>
        <v>2.24224455458031e-19</v>
      </c>
      <c r="J33" s="36">
        <f t="shared" si="7"/>
        <v>9.28333333333333e-21</v>
      </c>
      <c r="K33" s="36">
        <f t="shared" si="8"/>
        <v>8.31894883238251</v>
      </c>
      <c r="L33" s="36">
        <f t="shared" si="9"/>
        <v>0.471651950277564</v>
      </c>
      <c r="M33" s="36">
        <f t="shared" si="10"/>
        <v>0.0566960994448724</v>
      </c>
      <c r="N33" s="10">
        <f t="shared" si="11"/>
        <v>-2.87004986347416</v>
      </c>
      <c r="O33" s="37">
        <f t="shared" si="12"/>
        <v>5.49624476997759e-20</v>
      </c>
    </row>
    <row r="34" spans="1:15">
      <c r="A34" s="15">
        <v>5</v>
      </c>
      <c r="B34" s="34">
        <f t="shared" si="13"/>
        <v>5e-9</v>
      </c>
      <c r="C34" s="34">
        <f t="shared" si="0"/>
        <v>21.3427549168243</v>
      </c>
      <c r="D34" s="34">
        <f t="shared" si="1"/>
        <v>8.58145541286011e-20</v>
      </c>
      <c r="E34" s="34">
        <f t="shared" si="2"/>
        <v>4.0704542057468e-18</v>
      </c>
      <c r="F34" s="34">
        <f t="shared" si="3"/>
        <v>0.0583301928249208</v>
      </c>
      <c r="G34" s="34">
        <f t="shared" si="4"/>
        <v>-0.731413020966864</v>
      </c>
      <c r="H34" s="34">
        <f t="shared" si="5"/>
        <v>0.534965007239874</v>
      </c>
      <c r="I34" s="34">
        <f t="shared" si="6"/>
        <v>1.27016944263539e-19</v>
      </c>
      <c r="J34" s="34">
        <f t="shared" si="7"/>
        <v>9.28333333333333e-21</v>
      </c>
      <c r="K34" s="34">
        <f t="shared" si="8"/>
        <v>6.63097150479015</v>
      </c>
      <c r="L34" s="34">
        <f t="shared" si="9"/>
        <v>0.464941663301828</v>
      </c>
      <c r="M34" s="34">
        <f t="shared" si="10"/>
        <v>0.0701166733963431</v>
      </c>
      <c r="N34" s="5">
        <f t="shared" si="11"/>
        <v>-2.65759466163545</v>
      </c>
      <c r="O34" s="35">
        <f t="shared" si="12"/>
        <v>4.12023901349381e-20</v>
      </c>
    </row>
    <row r="35" spans="1:15">
      <c r="A35" s="14">
        <v>6</v>
      </c>
      <c r="B35" s="36">
        <f t="shared" si="13"/>
        <v>6e-9</v>
      </c>
      <c r="C35" s="36">
        <f t="shared" si="0"/>
        <v>9.86409282341736</v>
      </c>
      <c r="D35" s="36">
        <f t="shared" si="1"/>
        <v>3.96613619386793e-20</v>
      </c>
      <c r="E35" s="36">
        <f t="shared" si="2"/>
        <v>4.0704542057468e-18</v>
      </c>
      <c r="F35" s="36">
        <f t="shared" si="3"/>
        <v>0.0330424388177908</v>
      </c>
      <c r="G35" s="36">
        <f t="shared" si="4"/>
        <v>-0.731413020966864</v>
      </c>
      <c r="H35" s="36">
        <f t="shared" si="5"/>
        <v>0.534965007239874</v>
      </c>
      <c r="I35" s="36">
        <f t="shared" si="6"/>
        <v>7.1951581271949e-20</v>
      </c>
      <c r="J35" s="36">
        <f t="shared" si="7"/>
        <v>9.28333333333333e-21</v>
      </c>
      <c r="K35" s="36">
        <f t="shared" si="8"/>
        <v>5.50579926826678</v>
      </c>
      <c r="L35" s="36">
        <f t="shared" si="9"/>
        <v>0.458373567141856</v>
      </c>
      <c r="M35" s="36">
        <f t="shared" si="10"/>
        <v>0.0832528657162889</v>
      </c>
      <c r="N35" s="10">
        <f t="shared" si="11"/>
        <v>-2.48587272769556</v>
      </c>
      <c r="O35" s="37">
        <f t="shared" si="12"/>
        <v>3.22902193332697e-20</v>
      </c>
    </row>
    <row r="36" spans="1:15">
      <c r="A36" s="15">
        <v>7</v>
      </c>
      <c r="B36" s="34">
        <f t="shared" si="13"/>
        <v>7e-9</v>
      </c>
      <c r="C36" s="34">
        <f t="shared" si="0"/>
        <v>3.64466973522253</v>
      </c>
      <c r="D36" s="34">
        <f t="shared" si="1"/>
        <v>1.46544206449927e-20</v>
      </c>
      <c r="E36" s="34">
        <f t="shared" si="2"/>
        <v>4.0704542057468e-18</v>
      </c>
      <c r="F36" s="34">
        <f t="shared" si="3"/>
        <v>0.0187176265009875</v>
      </c>
      <c r="G36" s="34">
        <f t="shared" si="4"/>
        <v>-0.731413020966864</v>
      </c>
      <c r="H36" s="34">
        <f t="shared" si="5"/>
        <v>0.534965007239874</v>
      </c>
      <c r="I36" s="34">
        <f t="shared" si="6"/>
        <v>4.07585781373578e-20</v>
      </c>
      <c r="J36" s="34">
        <f t="shared" si="7"/>
        <v>9.28333333333333e-21</v>
      </c>
      <c r="K36" s="34">
        <f t="shared" si="8"/>
        <v>4.70222858647984</v>
      </c>
      <c r="L36" s="34">
        <f t="shared" si="9"/>
        <v>0.451943672631047</v>
      </c>
      <c r="M36" s="34">
        <f t="shared" si="10"/>
        <v>0.0961126547379057</v>
      </c>
      <c r="N36" s="5">
        <f t="shared" si="11"/>
        <v>-2.34223428865863</v>
      </c>
      <c r="O36" s="35">
        <f t="shared" si="12"/>
        <v>2.61041574923651e-20</v>
      </c>
    </row>
    <row r="37" spans="1:15">
      <c r="A37" s="14">
        <v>8</v>
      </c>
      <c r="B37" s="36">
        <f t="shared" si="13"/>
        <v>8e-9</v>
      </c>
      <c r="C37" s="36">
        <f t="shared" si="0"/>
        <v>0.371552496546811</v>
      </c>
      <c r="D37" s="36">
        <f t="shared" si="1"/>
        <v>1.49393140439423e-21</v>
      </c>
      <c r="E37" s="36">
        <f t="shared" si="2"/>
        <v>4.0704542057468e-18</v>
      </c>
      <c r="F37" s="36">
        <f t="shared" si="3"/>
        <v>0.0106030170400689</v>
      </c>
      <c r="G37" s="36">
        <f t="shared" si="4"/>
        <v>-0.731413020966864</v>
      </c>
      <c r="H37" s="36">
        <f t="shared" si="5"/>
        <v>0.534965007239874</v>
      </c>
      <c r="I37" s="36">
        <f t="shared" si="6"/>
        <v>2.30886057319599e-20</v>
      </c>
      <c r="J37" s="36">
        <f t="shared" si="7"/>
        <v>9.28333333333333e-21</v>
      </c>
      <c r="K37" s="36">
        <f t="shared" si="8"/>
        <v>4.09965770830637</v>
      </c>
      <c r="L37" s="36">
        <f t="shared" si="9"/>
        <v>0.445648129523088</v>
      </c>
      <c r="M37" s="36">
        <f t="shared" si="10"/>
        <v>0.108703740953825</v>
      </c>
      <c r="N37" s="10">
        <f t="shared" si="11"/>
        <v>-2.2191290700486</v>
      </c>
      <c r="O37" s="37">
        <f t="shared" si="12"/>
        <v>2.15946743275657e-20</v>
      </c>
    </row>
    <row r="38" spans="1:15">
      <c r="A38" s="15">
        <v>9</v>
      </c>
      <c r="B38" s="34">
        <f t="shared" si="13"/>
        <v>9e-9</v>
      </c>
      <c r="C38" s="34">
        <f t="shared" si="0"/>
        <v>-1.26987599431937</v>
      </c>
      <c r="D38" s="34">
        <f t="shared" si="1"/>
        <v>-5.10589390525341e-21</v>
      </c>
      <c r="E38" s="34">
        <f t="shared" si="2"/>
        <v>4.0704542057468e-18</v>
      </c>
      <c r="F38" s="34">
        <f t="shared" si="3"/>
        <v>0.00600631550939755</v>
      </c>
      <c r="G38" s="34">
        <f t="shared" si="4"/>
        <v>-0.731413020966864</v>
      </c>
      <c r="H38" s="34">
        <f t="shared" si="5"/>
        <v>0.534965007239874</v>
      </c>
      <c r="I38" s="34">
        <f t="shared" si="6"/>
        <v>1.30790557229298e-20</v>
      </c>
      <c r="J38" s="34">
        <f t="shared" si="7"/>
        <v>9.28333333333333e-21</v>
      </c>
      <c r="K38" s="34">
        <f t="shared" si="8"/>
        <v>3.63108567577852</v>
      </c>
      <c r="L38" s="34">
        <f t="shared" si="9"/>
        <v>0.439483220726744</v>
      </c>
      <c r="M38" s="34">
        <f t="shared" si="10"/>
        <v>0.121033558546513</v>
      </c>
      <c r="N38" s="5">
        <f t="shared" si="11"/>
        <v>-2.11168742847835</v>
      </c>
      <c r="O38" s="35">
        <f t="shared" si="12"/>
        <v>1.81849496281832e-20</v>
      </c>
    </row>
    <row r="39" spans="1:15">
      <c r="A39" s="14">
        <v>10</v>
      </c>
      <c r="B39" s="36">
        <f t="shared" si="13"/>
        <v>1e-8</v>
      </c>
      <c r="C39" s="36">
        <f t="shared" si="0"/>
        <v>-2.02042691731402</v>
      </c>
      <c r="D39" s="36">
        <f t="shared" si="1"/>
        <v>-8.12369517123823e-21</v>
      </c>
      <c r="E39" s="36">
        <f t="shared" si="2"/>
        <v>4.0704542057468e-18</v>
      </c>
      <c r="F39" s="36">
        <f t="shared" si="3"/>
        <v>0.00340241139499244</v>
      </c>
      <c r="G39" s="36">
        <f t="shared" si="4"/>
        <v>-0.731413020966864</v>
      </c>
      <c r="H39" s="36">
        <f t="shared" si="5"/>
        <v>0.534965007239874</v>
      </c>
      <c r="I39" s="36">
        <f t="shared" si="6"/>
        <v>7.40892285092445e-21</v>
      </c>
      <c r="J39" s="36">
        <f t="shared" si="7"/>
        <v>9.28333333333333e-21</v>
      </c>
      <c r="K39" s="36">
        <f t="shared" si="8"/>
        <v>3.25631192726702</v>
      </c>
      <c r="L39" s="36">
        <f t="shared" si="9"/>
        <v>0.433445356817879</v>
      </c>
      <c r="M39" s="36">
        <f t="shared" si="10"/>
        <v>0.133109286364241</v>
      </c>
      <c r="N39" s="10">
        <f t="shared" si="11"/>
        <v>-2.01658478618586</v>
      </c>
      <c r="O39" s="37">
        <f t="shared" si="12"/>
        <v>1.55326180221627e-20</v>
      </c>
    </row>
    <row r="40" spans="1:15">
      <c r="A40" s="15">
        <v>20</v>
      </c>
      <c r="B40" s="34">
        <f t="shared" si="13"/>
        <v>2e-8</v>
      </c>
      <c r="C40" s="34">
        <f t="shared" si="0"/>
        <v>-1.21673564379089</v>
      </c>
      <c r="D40" s="34">
        <f t="shared" si="1"/>
        <v>-4.892228166945e-21</v>
      </c>
      <c r="E40" s="34">
        <f t="shared" si="2"/>
        <v>4.0704542057468e-18</v>
      </c>
      <c r="F40" s="34">
        <f t="shared" si="3"/>
        <v>1.15764033007744e-5</v>
      </c>
      <c r="G40" s="34">
        <f t="shared" si="4"/>
        <v>-0.731413020966864</v>
      </c>
      <c r="H40" s="34">
        <f t="shared" si="5"/>
        <v>0.534965007239874</v>
      </c>
      <c r="I40" s="34">
        <f t="shared" si="6"/>
        <v>2.52082035326052e-23</v>
      </c>
      <c r="J40" s="34">
        <f t="shared" si="7"/>
        <v>9.28333333333333e-21</v>
      </c>
      <c r="K40" s="34">
        <f t="shared" si="8"/>
        <v>1.57204129237493</v>
      </c>
      <c r="L40" s="34">
        <f t="shared" si="9"/>
        <v>0.379346033826645</v>
      </c>
      <c r="M40" s="34">
        <f t="shared" si="10"/>
        <v>0.241307932346711</v>
      </c>
      <c r="N40" s="5">
        <f t="shared" si="11"/>
        <v>-1.42168143351098</v>
      </c>
      <c r="O40" s="35">
        <f t="shared" si="12"/>
        <v>4.91743637047761e-21</v>
      </c>
    </row>
    <row r="41" spans="1:15">
      <c r="A41" s="14">
        <v>30</v>
      </c>
      <c r="B41" s="36">
        <f t="shared" si="13"/>
        <v>3e-8</v>
      </c>
      <c r="C41" s="36">
        <f t="shared" si="0"/>
        <v>-0.55542343209416</v>
      </c>
      <c r="D41" s="36">
        <f t="shared" si="1"/>
        <v>-2.2332362604307e-21</v>
      </c>
      <c r="E41" s="36">
        <f t="shared" si="2"/>
        <v>4.0704542057468e-18</v>
      </c>
      <c r="F41" s="36">
        <f t="shared" si="3"/>
        <v>3.9387686503583e-8</v>
      </c>
      <c r="G41" s="36">
        <f t="shared" si="4"/>
        <v>-0.731413020966864</v>
      </c>
      <c r="H41" s="36">
        <f t="shared" si="5"/>
        <v>0.534965007239874</v>
      </c>
      <c r="I41" s="36">
        <f t="shared" si="6"/>
        <v>8.57686789466249e-26</v>
      </c>
      <c r="J41" s="36">
        <f t="shared" si="7"/>
        <v>9.28333333333333e-21</v>
      </c>
      <c r="K41" s="36">
        <f t="shared" si="8"/>
        <v>1.01311050304072</v>
      </c>
      <c r="L41" s="36">
        <f t="shared" si="9"/>
        <v>0.334777433969559</v>
      </c>
      <c r="M41" s="36">
        <f t="shared" si="10"/>
        <v>0.330445132060883</v>
      </c>
      <c r="N41" s="10">
        <f t="shared" si="11"/>
        <v>-1.10731464841678</v>
      </c>
      <c r="O41" s="37">
        <f t="shared" si="12"/>
        <v>2.23332202910965e-21</v>
      </c>
    </row>
    <row r="42" spans="1:15">
      <c r="A42" s="15">
        <v>40</v>
      </c>
      <c r="B42" s="34">
        <f t="shared" si="13"/>
        <v>4e-8</v>
      </c>
      <c r="C42" s="34">
        <f t="shared" si="0"/>
        <v>-0.296618577358183</v>
      </c>
      <c r="D42" s="34">
        <f t="shared" si="1"/>
        <v>-1.1926384883981e-21</v>
      </c>
      <c r="E42" s="34">
        <f t="shared" si="2"/>
        <v>4.0704542057468e-18</v>
      </c>
      <c r="F42" s="34">
        <f t="shared" si="3"/>
        <v>1.3401311338218e-10</v>
      </c>
      <c r="G42" s="34">
        <f t="shared" si="4"/>
        <v>-0.731413020966864</v>
      </c>
      <c r="H42" s="34">
        <f t="shared" si="5"/>
        <v>0.534965007239874</v>
      </c>
      <c r="I42" s="34">
        <f t="shared" si="6"/>
        <v>2.91820330581443e-28</v>
      </c>
      <c r="J42" s="34">
        <f t="shared" si="7"/>
        <v>9.28333333333333e-21</v>
      </c>
      <c r="K42" s="34">
        <f t="shared" si="8"/>
        <v>0.735333835620414</v>
      </c>
      <c r="L42" s="34">
        <f t="shared" si="9"/>
        <v>0.297625554492771</v>
      </c>
      <c r="M42" s="34">
        <f t="shared" si="10"/>
        <v>0.404748891014459</v>
      </c>
      <c r="N42" s="5">
        <f t="shared" si="11"/>
        <v>-0.904488426355364</v>
      </c>
      <c r="O42" s="35">
        <f t="shared" si="12"/>
        <v>1.19263878021843e-21</v>
      </c>
    </row>
    <row r="43" spans="1:15">
      <c r="A43" s="14">
        <v>50</v>
      </c>
      <c r="B43" s="36">
        <f t="shared" si="13"/>
        <v>5e-8</v>
      </c>
      <c r="C43" s="36">
        <f t="shared" si="0"/>
        <v>-0.174360513422499</v>
      </c>
      <c r="D43" s="36">
        <f t="shared" si="1"/>
        <v>-7.01065526699685e-22</v>
      </c>
      <c r="E43" s="36">
        <f t="shared" si="2"/>
        <v>4.0704542057468e-18</v>
      </c>
      <c r="F43" s="36">
        <f t="shared" si="3"/>
        <v>4.55967744049944e-13</v>
      </c>
      <c r="G43" s="36">
        <f t="shared" si="4"/>
        <v>-0.731413020966864</v>
      </c>
      <c r="H43" s="36">
        <f t="shared" si="5"/>
        <v>0.534965007239874</v>
      </c>
      <c r="I43" s="36">
        <f t="shared" si="6"/>
        <v>9.92892818060767e-31</v>
      </c>
      <c r="J43" s="36">
        <f t="shared" si="7"/>
        <v>9.28333333333333e-21</v>
      </c>
      <c r="K43" s="36">
        <f t="shared" si="8"/>
        <v>0.5698922209728</v>
      </c>
      <c r="L43" s="36">
        <f t="shared" si="9"/>
        <v>0.26633160322197</v>
      </c>
      <c r="M43" s="36">
        <f t="shared" si="10"/>
        <v>0.46733679355606</v>
      </c>
      <c r="N43" s="10">
        <f t="shared" si="11"/>
        <v>-0.760705095897545</v>
      </c>
      <c r="O43" s="37">
        <f t="shared" si="12"/>
        <v>7.01065527692578e-22</v>
      </c>
    </row>
    <row r="44" spans="1:15">
      <c r="A44" s="15">
        <v>60</v>
      </c>
      <c r="B44" s="34">
        <f t="shared" si="13"/>
        <v>6e-8</v>
      </c>
      <c r="C44" s="34">
        <f t="shared" si="0"/>
        <v>-0.109390104151612</v>
      </c>
      <c r="D44" s="34">
        <f t="shared" si="1"/>
        <v>-4.39833707055877e-22</v>
      </c>
      <c r="E44" s="34">
        <f t="shared" si="2"/>
        <v>4.0704542057468e-18</v>
      </c>
      <c r="F44" s="34">
        <f t="shared" si="3"/>
        <v>1.55138984810453e-15</v>
      </c>
      <c r="G44" s="34">
        <f t="shared" si="4"/>
        <v>-0.731413020966864</v>
      </c>
      <c r="H44" s="34">
        <f t="shared" si="5"/>
        <v>0.534965007239874</v>
      </c>
      <c r="I44" s="34">
        <f t="shared" si="6"/>
        <v>3.37822983817612e-33</v>
      </c>
      <c r="J44" s="34">
        <f t="shared" si="7"/>
        <v>9.28333333333333e-21</v>
      </c>
      <c r="K44" s="34">
        <f t="shared" si="8"/>
        <v>0.460525417792425</v>
      </c>
      <c r="L44" s="34">
        <f t="shared" si="9"/>
        <v>0.239725784066626</v>
      </c>
      <c r="M44" s="34">
        <f t="shared" si="10"/>
        <v>0.520548431866748</v>
      </c>
      <c r="N44" s="5">
        <f t="shared" si="11"/>
        <v>-0.652872346520531</v>
      </c>
      <c r="O44" s="35">
        <f t="shared" si="12"/>
        <v>4.39833707059255e-22</v>
      </c>
    </row>
    <row r="45" spans="1:15">
      <c r="A45" s="14">
        <v>70</v>
      </c>
      <c r="B45" s="36">
        <f t="shared" si="13"/>
        <v>7e-8</v>
      </c>
      <c r="C45" s="36">
        <f t="shared" si="0"/>
        <v>-0.0719939247474097</v>
      </c>
      <c r="D45" s="36">
        <f t="shared" si="1"/>
        <v>-2.89471840736777e-22</v>
      </c>
      <c r="E45" s="36">
        <f t="shared" si="2"/>
        <v>4.0704542057468e-18</v>
      </c>
      <c r="F45" s="36">
        <f t="shared" si="3"/>
        <v>5.27846649726643e-18</v>
      </c>
      <c r="G45" s="36">
        <f t="shared" si="4"/>
        <v>-0.731413020966864</v>
      </c>
      <c r="H45" s="36">
        <f t="shared" si="5"/>
        <v>0.534965007239874</v>
      </c>
      <c r="I45" s="36">
        <f t="shared" si="6"/>
        <v>1.14941276963138e-35</v>
      </c>
      <c r="J45" s="36">
        <f t="shared" si="7"/>
        <v>9.28333333333333e-21</v>
      </c>
      <c r="K45" s="36">
        <f t="shared" si="8"/>
        <v>0.383131239426871</v>
      </c>
      <c r="L45" s="36">
        <f t="shared" si="9"/>
        <v>0.216916366629445</v>
      </c>
      <c r="M45" s="36">
        <f t="shared" si="10"/>
        <v>0.566167266741109</v>
      </c>
      <c r="N45" s="10">
        <f t="shared" si="11"/>
        <v>-0.568865720160074</v>
      </c>
      <c r="O45" s="37">
        <f t="shared" si="12"/>
        <v>2.89471840736789e-22</v>
      </c>
    </row>
    <row r="46" spans="1:15">
      <c r="A46" s="15">
        <v>80</v>
      </c>
      <c r="B46" s="34">
        <f t="shared" si="13"/>
        <v>8e-8</v>
      </c>
      <c r="C46" s="34">
        <f t="shared" si="0"/>
        <v>-0.0491732423650871</v>
      </c>
      <c r="D46" s="34">
        <f t="shared" si="1"/>
        <v>-1.97714863196559e-22</v>
      </c>
      <c r="E46" s="34">
        <f t="shared" si="2"/>
        <v>4.0704542057468e-18</v>
      </c>
      <c r="F46" s="34">
        <f t="shared" si="3"/>
        <v>1.7959514558385e-20</v>
      </c>
      <c r="G46" s="34">
        <f t="shared" si="4"/>
        <v>-0.731413020966864</v>
      </c>
      <c r="H46" s="34">
        <f t="shared" si="5"/>
        <v>0.534965007239874</v>
      </c>
      <c r="I46" s="34">
        <f t="shared" si="6"/>
        <v>3.91077510494362e-38</v>
      </c>
      <c r="J46" s="34">
        <f t="shared" si="7"/>
        <v>9.28333333333333e-21</v>
      </c>
      <c r="K46" s="34">
        <f t="shared" si="8"/>
        <v>0.325665602045421</v>
      </c>
      <c r="L46" s="34">
        <f t="shared" si="9"/>
        <v>0.197213981809736</v>
      </c>
      <c r="M46" s="34">
        <f t="shared" si="10"/>
        <v>0.605572036380528</v>
      </c>
      <c r="N46" s="5">
        <f t="shared" si="11"/>
        <v>-0.501581752990178</v>
      </c>
      <c r="O46" s="35">
        <f t="shared" si="12"/>
        <v>1.97714863196559e-22</v>
      </c>
    </row>
    <row r="47" spans="1:15">
      <c r="A47" s="14">
        <v>90</v>
      </c>
      <c r="B47" s="36">
        <f t="shared" si="13"/>
        <v>9e-8</v>
      </c>
      <c r="C47" s="36">
        <f t="shared" si="0"/>
        <v>-0.0346045969445114</v>
      </c>
      <c r="D47" s="36">
        <f t="shared" si="1"/>
        <v>-1.39137523209448e-22</v>
      </c>
      <c r="E47" s="36">
        <f t="shared" si="2"/>
        <v>4.0704542057468e-18</v>
      </c>
      <c r="F47" s="36">
        <f t="shared" si="3"/>
        <v>6.1105656981982e-23</v>
      </c>
      <c r="G47" s="36">
        <f t="shared" si="4"/>
        <v>-0.731413020966864</v>
      </c>
      <c r="H47" s="36">
        <f t="shared" si="5"/>
        <v>0.534965007239874</v>
      </c>
      <c r="I47" s="36">
        <f t="shared" si="6"/>
        <v>1.3306065780313e-40</v>
      </c>
      <c r="J47" s="36">
        <f t="shared" si="7"/>
        <v>9.28333333333333e-21</v>
      </c>
      <c r="K47" s="36">
        <f t="shared" si="8"/>
        <v>0.281442713612799</v>
      </c>
      <c r="L47" s="36">
        <f t="shared" si="9"/>
        <v>0.180078916029315</v>
      </c>
      <c r="M47" s="36">
        <f t="shared" si="10"/>
        <v>0.63984216794137</v>
      </c>
      <c r="N47" s="10">
        <f t="shared" si="11"/>
        <v>-0.446533745633915</v>
      </c>
      <c r="O47" s="37">
        <f t="shared" si="12"/>
        <v>1.39137523209448e-22</v>
      </c>
    </row>
    <row r="48" spans="1:15">
      <c r="A48" s="15">
        <v>100</v>
      </c>
      <c r="B48" s="34">
        <f t="shared" si="13"/>
        <v>1e-7</v>
      </c>
      <c r="C48" s="34">
        <f t="shared" si="0"/>
        <v>-0.0249618253971224</v>
      </c>
      <c r="D48" s="34">
        <f t="shared" si="1"/>
        <v>-1.0036604576298e-22</v>
      </c>
      <c r="E48" s="34">
        <f t="shared" si="2"/>
        <v>4.0704542057468e-18</v>
      </c>
      <c r="F48" s="34">
        <f t="shared" si="3"/>
        <v>2.07906583613996e-25</v>
      </c>
      <c r="G48" s="34">
        <f t="shared" si="4"/>
        <v>-0.731413020966864</v>
      </c>
      <c r="H48" s="34">
        <f t="shared" si="5"/>
        <v>0.534965007239874</v>
      </c>
      <c r="I48" s="34">
        <f t="shared" si="6"/>
        <v>4.5272709833456e-43</v>
      </c>
      <c r="J48" s="34">
        <f t="shared" si="7"/>
        <v>9.28333333333333e-21</v>
      </c>
      <c r="K48" s="34">
        <f t="shared" si="8"/>
        <v>0.246455275673514</v>
      </c>
      <c r="L48" s="34">
        <f t="shared" si="9"/>
        <v>0.165083752305952</v>
      </c>
      <c r="M48" s="34">
        <f t="shared" si="10"/>
        <v>0.669832495388097</v>
      </c>
      <c r="N48" s="5">
        <f t="shared" si="11"/>
        <v>-0.400727604737493</v>
      </c>
      <c r="O48" s="35">
        <f t="shared" si="12"/>
        <v>1.0036604576298e-22</v>
      </c>
    </row>
    <row r="49" spans="1:15">
      <c r="A49" s="38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9">
        <f t="shared" si="10"/>
        <v>0</v>
      </c>
      <c r="N49" s="40"/>
      <c r="O49" s="41"/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461538461539" defaultRowHeight="16.8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汇总图片</vt:lpstr>
      <vt:lpstr>Control</vt:lpstr>
      <vt:lpstr>NaCl 0.3</vt:lpstr>
      <vt:lpstr>NaCl 3</vt:lpstr>
      <vt:lpstr>NaCl 30</vt:lpstr>
      <vt:lpstr>Na2SO4 0.3</vt:lpstr>
      <vt:lpstr>Na2SO4 3</vt:lpstr>
      <vt:lpstr>Na2SO4 30</vt:lpstr>
      <vt:lpstr>PO4 0.3</vt:lpstr>
      <vt:lpstr>PO4 3</vt:lpstr>
      <vt:lpstr>PO4 30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Zhang CP</cp:lastModifiedBy>
  <dcterms:created xsi:type="dcterms:W3CDTF">2018-05-27T11:57:00Z</dcterms:created>
  <dcterms:modified xsi:type="dcterms:W3CDTF">2025-11-18T22:51:00Z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709FB7C57FCD4E21AB75ABDFD2C539A6_13</vt:lpwstr>
  </property>
</Properties>
</file>